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Bhara\Downloads\"/>
    </mc:Choice>
  </mc:AlternateContent>
  <xr:revisionPtr revIDLastSave="0" documentId="8_{E73D34D9-5A2F-48C4-BA93-1F9E07EB6CCC}" xr6:coauthVersionLast="47" xr6:coauthVersionMax="47" xr10:uidLastSave="{00000000-0000-0000-0000-000000000000}"/>
  <bookViews>
    <workbookView xWindow="-110" yWindow="-110" windowWidth="19420" windowHeight="11500" activeTab="1" xr2:uid="{B6311082-0D4A-4203-81C0-15FDC719D7B0}"/>
  </bookViews>
  <sheets>
    <sheet name="placement_data" sheetId="2" r:id="rId1"/>
    <sheet name="Dashboard" sheetId="1" r:id="rId2"/>
  </sheets>
  <definedNames>
    <definedName name="ExternalData_1" localSheetId="0" hidden="1">placement_data!$A$1:$J$81</definedName>
    <definedName name="Slicer_Department">#N/A</definedName>
    <definedName name="Slicer_Gender">#N/A</definedName>
    <definedName name="Slicer_Placement_Status">#N/A</definedName>
  </definedNames>
  <calcPr calcId="181029"/>
  <pivotCaches>
    <pivotCache cacheId="14" r:id="rId3"/>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1" l="1"/>
  <c r="H5" i="1"/>
  <c r="F5" i="1"/>
  <c r="D5" i="1"/>
  <c r="B5"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2" i="2"/>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2" i="2"/>
  <c r="L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56E21D-2AD2-41AA-BA37-FA71BB86ECE0}" keepAlive="1" name="Query - placement_data" description="Connection to the 'placement_data' query in the workbook." type="5" refreshedVersion="8" background="1" saveData="1">
    <dbPr connection="Provider=Microsoft.Mashup.OleDb.1;Data Source=$Workbook$;Location=placement_data;Extended Properties=&quot;&quot;" command="SELECT * FROM [placement_data]"/>
  </connection>
</connections>
</file>

<file path=xl/sharedStrings.xml><?xml version="1.0" encoding="utf-8"?>
<sst xmlns="http://schemas.openxmlformats.org/spreadsheetml/2006/main" count="422" uniqueCount="126">
  <si>
    <t>Student_ID</t>
  </si>
  <si>
    <t>Gender</t>
  </si>
  <si>
    <t>Department</t>
  </si>
  <si>
    <t>CGPA</t>
  </si>
  <si>
    <t>Internships</t>
  </si>
  <si>
    <t>Aptitude_Score</t>
  </si>
  <si>
    <t>Communication_Score</t>
  </si>
  <si>
    <t>Attendance</t>
  </si>
  <si>
    <t>Placement_Status</t>
  </si>
  <si>
    <t>Salary_LPA</t>
  </si>
  <si>
    <t>S101</t>
  </si>
  <si>
    <t>Male</t>
  </si>
  <si>
    <t>CSE</t>
  </si>
  <si>
    <t>Placed</t>
  </si>
  <si>
    <t>S102</t>
  </si>
  <si>
    <t>Female</t>
  </si>
  <si>
    <t>ECE</t>
  </si>
  <si>
    <t>S103</t>
  </si>
  <si>
    <t>EEE</t>
  </si>
  <si>
    <t>Not Placed</t>
  </si>
  <si>
    <t>S104</t>
  </si>
  <si>
    <t>S105</t>
  </si>
  <si>
    <t>MECH</t>
  </si>
  <si>
    <t>S106</t>
  </si>
  <si>
    <t>CIVIL</t>
  </si>
  <si>
    <t>S107</t>
  </si>
  <si>
    <t>S108</t>
  </si>
  <si>
    <t>S109</t>
  </si>
  <si>
    <t>S110</t>
  </si>
  <si>
    <t>S111</t>
  </si>
  <si>
    <t>IT</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</si>
  <si>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</si>
  <si>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</si>
  <si>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</si>
  <si>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</si>
  <si>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</si>
  <si>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</si>
  <si>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</si>
  <si>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</si>
  <si>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</si>
  <si>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</si>
  <si>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</si>
  <si>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</si>
  <si>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</si>
  <si>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</si>
  <si>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</si>
  <si>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</si>
  <si>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</si>
  <si>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</si>
  <si>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</si>
  <si>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</si>
  <si>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</si>
  <si>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</si>
  <si>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</si>
  <si>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</si>
  <si>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</si>
  <si>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</si>
  <si>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</si>
  <si>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</si>
  <si>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</si>
  <si>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</si>
  <si>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</si>
  <si>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</si>
  <si>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</si>
  <si>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</si>
  <si>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</si>
  <si>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</si>
  <si>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</si>
  <si>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</si>
  <si>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</si>
  <si>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</si>
  <si>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</si>
  <si>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</si>
  <si>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</si>
  <si>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</si>
  <si>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</si>
  <si>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</si>
  <si>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</si>
  <si>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</si>
  <si>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</si>
  <si>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</si>
  <si>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</si>
  <si>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</si>
  <si>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</si>
  <si>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</si>
  <si>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</si>
  <si>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</si>
  <si>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</si>
  <si>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</si>
  <si>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</si>
  <si>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</si>
  <si>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</si>
  <si>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</si>
  <si>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</si>
  <si>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</si>
  <si>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</si>
  <si>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</si>
  <si>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</si>
  <si>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</si>
  <si>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</si>
  <si>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Average Score</t>
  </si>
  <si>
    <t>Performance</t>
  </si>
  <si>
    <t>Eligibility</t>
  </si>
  <si>
    <t>Row Labels</t>
  </si>
  <si>
    <t>Grand Total</t>
  </si>
  <si>
    <t>Count of Student_ID</t>
  </si>
  <si>
    <t>Department wise Placements</t>
  </si>
  <si>
    <t>Average Salary by Department</t>
  </si>
  <si>
    <t>Average of Salary_LPA</t>
  </si>
  <si>
    <t>Average</t>
  </si>
  <si>
    <t>Gender wise Performance Analysis</t>
  </si>
  <si>
    <t>Column Labels</t>
  </si>
  <si>
    <t>Internship Impact on Placement</t>
  </si>
  <si>
    <t>Count of Placement_Status</t>
  </si>
  <si>
    <t>(All)</t>
  </si>
  <si>
    <t>Excellent</t>
  </si>
  <si>
    <t>Good</t>
  </si>
  <si>
    <t xml:space="preserve">👨‍🎓 Total Students </t>
  </si>
  <si>
    <t>✅ Total Placed</t>
  </si>
  <si>
    <t>📈 Placement %</t>
  </si>
  <si>
    <t>💵 Average Salary(LPA)</t>
  </si>
  <si>
    <t xml:space="preserve">                  🎓   Student Placement Analysis Dashboard</t>
  </si>
  <si>
    <t>💰 Highest Salary (LPA)</t>
  </si>
  <si>
    <t>Placement Distribution</t>
  </si>
  <si>
    <r>
      <rPr>
        <b/>
        <sz val="11"/>
        <color theme="1"/>
        <rFont val="Calibri"/>
        <family val="2"/>
        <scheme val="minor"/>
      </rPr>
      <t>Pivot</t>
    </r>
    <r>
      <rPr>
        <sz val="11"/>
        <color theme="1"/>
        <rFont val="Calibri"/>
        <family val="2"/>
        <scheme val="minor"/>
      </rPr>
      <t xml:space="preserve"> </t>
    </r>
    <r>
      <rPr>
        <b/>
        <sz val="11"/>
        <color theme="1"/>
        <rFont val="Calibri"/>
        <family val="2"/>
        <scheme val="minor"/>
      </rPr>
      <t>Tables</t>
    </r>
  </si>
  <si>
    <t>Department wise Placement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</si>
</sst>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22"/>
      <color theme="1"/>
      <name val="Calibri"/>
      <family val="2"/>
      <scheme val="minor"/>
    </font>
    <font>
      <b/>
      <sz val="22"/>
      <color theme="3" tint="-0.499984740745262"/>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2"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2"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6" fillId="2" borderId="0" xfId="0" applyFont="1" applyFill="1" applyAlignment="1">
      <alignment horizontal="center"/>
    </xf>
    <xf numFmtId="0" fontId="7" fillId="3" borderId="0" xfId="0" applyFont="1" applyFill="1" applyAlignment="1">
      <alignment horizontal="center"/>
    </xf>
    <xf numFmtId="10" fontId="7" fillId="3" borderId="0" xfId="1" applyNumberFormat="1" applyFont="1" applyFill="1" applyAlignment="1">
      <alignment horizontal="center"/>
    </xf>
    <xf numFmtId="49" fontId="7" fillId="3" borderId="0" xfId="0" applyNumberFormat="1" applyFont="1" applyFill="1" applyAlignment="1">
      <alignment horizontal="center"/>
    </xf>
    <xf numFmtId="0" fontId="0" fillId="0" borderId="0" xfId="0" applyNumberFormat="1"/>
  </cellXfs>
  <cellStyles count="2">
    <cellStyle name="Normal" xfId="0" builtinId="0"/>
    <cellStyle name="Percent" xfId="1" builtinId="5"/>
  </cellStyles>
  <dxfs count="9">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s>
  <tableStyles count="0" defaultTableStyle="TableStyleMedium2" defaultPivotStyle="PivotStyleLight16"/>
  <colors>
    <mruColors>
      <color rgb="FF659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[Placementdashboard.xlsx]placement_data!PivotTable2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 vs Placements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placement_data!$E$88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placement_data!$D$89:$D$105</c:f>
              <c:multiLvlStrCache>
                <c:ptCount val="10"/>
                <c:lvl>
                  <c:pt idx="0">
                    <c:v>Not Placed</c:v>
                  </c:pt>
                  <c:pt idx="1">
                    <c:v>Placed</c:v>
                  </c:pt>
                  <c:pt idx="2">
                    <c:v>Placed</c:v>
                  </c:pt>
                  <c:pt idx="3">
                    <c:v>Not Placed</c:v>
                  </c:pt>
                  <c:pt idx="4">
                    <c:v>Placed</c:v>
                  </c:pt>
                  <c:pt idx="5">
                    <c:v>Not Placed</c:v>
                  </c:pt>
                  <c:pt idx="6">
                    <c:v>Placed</c:v>
                  </c:pt>
                  <c:pt idx="7">
                    <c:v>Placed</c:v>
                  </c:pt>
                  <c:pt idx="8">
                    <c:v>Not Placed</c:v>
                  </c:pt>
                  <c:pt idx="9">
                    <c:v>Placed</c:v>
                  </c:pt>
                </c:lvl>
                <c:lvl>
                  <c:pt idx="0">
                    <c:v>CIVIL</c:v>
                  </c:pt>
                  <c:pt idx="2">
                    <c:v>CSE</c:v>
                  </c:pt>
                  <c:pt idx="3">
                    <c:v>ECE</c:v>
                  </c:pt>
                  <c:pt idx="5">
                    <c:v>EEE</c:v>
                  </c:pt>
                  <c:pt idx="7">
                    <c:v>IT</c:v>
                  </c:pt>
                  <c:pt idx="8">
                    <c:v>MECH</c:v>
                  </c:pt>
                </c:lvl>
              </c:multiLvlStrCache>
            </c:multiLvlStrRef>
          </c:cat>
          <c:val>
            <c:numRef>
              <c:f>placement_data!$E$89:$E$105</c:f>
              <c:numCache>
                <c:formatCode>General</c:formatCode>
                <c:ptCount val="10"/>
                <c:pt idx="0">
                  <c:v>5</c:v>
                </c:pt>
                <c:pt idx="1">
                  <c:v>4</c:v>
                </c:pt>
                <c:pt idx="2">
                  <c:v>24</c:v>
                </c:pt>
                <c:pt idx="3">
                  <c:v>8</c:v>
                </c:pt>
                <c:pt idx="4">
                  <c:v>8</c:v>
                </c:pt>
                <c:pt idx="5">
                  <c:v>2</c:v>
                </c:pt>
                <c:pt idx="6">
                  <c:v>7</c:v>
                </c:pt>
                <c:pt idx="7">
                  <c:v>14</c:v>
                </c:pt>
                <c:pt idx="8">
                  <c:v>7</c:v>
                </c:pt>
                <c:pt idx="9">
                  <c:v>1</c:v>
                </c:pt>
              </c:numCache>
            </c:numRef>
          </c:val>
          <c:extLst>
            <c:ext xmlns:c16="http://schemas.microsoft.com/office/drawing/2014/chart" uri="{C3380CC4-5D6E-409C-BE32-E72D297353CC}">
              <c16:uniqueId val="{00000000-3CB6-432A-826F-45B8FD73438A}"/>
            </c:ext>
          </c:extLst>
        </c:ser>
        <c:dLbls>
          <c:dLblPos val="inEnd"/>
          <c:showLegendKey val="0"/>
          <c:showVal val="1"/>
          <c:showCatName val="0"/>
          <c:showSerName val="0"/>
          <c:showPercent val="0"/>
          <c:showBubbleSize val="0"/>
        </c:dLbls>
        <c:gapWidth val="100"/>
        <c:overlap val="-24"/>
        <c:axId val="987557616"/>
        <c:axId val="987559536"/>
      </c:barChart>
      <c:catAx>
        <c:axId val="9875576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Departments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59536"/>
        <c:crosses val="autoZero"/>
        <c:auto val="1"/>
        <c:lblAlgn val="ctr"/>
        <c:lblOffset val="100"/>
        <c:noMultiLvlLbl val="0"/>
      </c:catAx>
      <c:valAx>
        <c:axId val="98755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No.of Students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[Placementdashboard.xlsx]placement_data!PivotTable3</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a:t>
            </a:r>
            <a:r>
              <a:rPr lang="en-US" baseline="0"/>
              <a:t> Salary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placement_data!$I$90</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placement_data!$H$91:$H$97</c:f>
              <c:strCache>
                <c:ptCount val="6"/>
                <c:pt idx="0">
                  <c:v>CIVIL</c:v>
                </c:pt>
                <c:pt idx="1">
                  <c:v>CSE</c:v>
                </c:pt>
                <c:pt idx="2">
                  <c:v>ECE</c:v>
                </c:pt>
                <c:pt idx="3">
                  <c:v>EEE</c:v>
                </c:pt>
                <c:pt idx="4">
                  <c:v>IT</c:v>
                </c:pt>
                <c:pt idx="5">
                  <c:v>MECH</c:v>
                </c:pt>
              </c:strCache>
            </c:strRef>
          </c:cat>
          <c:val>
            <c:numRef>
              <c:f>placement_data!$I$91:$I$97</c:f>
              <c:numCache>
                <c:formatCode>General</c:formatCode>
                <c:ptCount val="6"/>
                <c:pt idx="0">
                  <c:v>2.3333333333333335</c:v>
                </c:pt>
                <c:pt idx="1">
                  <c:v>13.875</c:v>
                </c:pt>
                <c:pt idx="2">
                  <c:v>3.4375</c:v>
                </c:pt>
                <c:pt idx="3">
                  <c:v>4</c:v>
                </c:pt>
                <c:pt idx="4">
                  <c:v>8.7857142857142865</c:v>
                </c:pt>
                <c:pt idx="5">
                  <c:v>0.5</c:v>
                </c:pt>
              </c:numCache>
            </c:numRef>
          </c:val>
          <c:extLst>
            <c:ext xmlns:c16="http://schemas.microsoft.com/office/drawing/2014/chart" uri="{C3380CC4-5D6E-409C-BE32-E72D297353CC}">
              <c16:uniqueId val="{00000000-6471-440E-AEA1-40831FCF9C1C}"/>
            </c:ext>
          </c:extLst>
        </c:ser>
        <c:dLbls>
          <c:dLblPos val="inEnd"/>
          <c:showLegendKey val="0"/>
          <c:showVal val="1"/>
          <c:showCatName val="0"/>
          <c:showSerName val="0"/>
          <c:showPercent val="0"/>
          <c:showBubbleSize val="0"/>
        </c:dLbls>
        <c:gapWidth val="41"/>
        <c:axId val="996589328"/>
        <c:axId val="1074438000"/>
      </c:barChart>
      <c:catAx>
        <c:axId val="996589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Departments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74438000"/>
        <c:crosses val="autoZero"/>
        <c:auto val="1"/>
        <c:lblAlgn val="ctr"/>
        <c:lblOffset val="100"/>
        <c:noMultiLvlLbl val="0"/>
      </c:catAx>
      <c:valAx>
        <c:axId val="1074438000"/>
        <c:scaling>
          <c:orientation val="minMax"/>
        </c:scaling>
        <c:delete val="1"/>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Salary in LPA</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9658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CGPA vs Salary PACKAGE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placement_data!$J$1</c:f>
              <c:strCache>
                <c:ptCount val="1"/>
                <c:pt idx="0">
                  <c:v>Salary_LPA</c:v>
                </c:pt>
              </c:strCache>
            </c:strRef>
          </c:tx>
          <c:spPr>
            <a:ln w="25400" cap="rnd">
              <a:noFill/>
              <a:round/>
            </a:ln>
            <a:effectLst/>
          </c:spPr>
          <c:marker>
            <c:symbol val="diamond"/>
            <c:size val="6"/>
            <c:spPr>
              <a:solidFill>
                <a:schemeClr val="accent6"/>
              </a:solidFill>
              <a:ln w="9525">
                <a:solidFill>
                  <a:schemeClr val="accent6"/>
                </a:solidFill>
                <a:round/>
              </a:ln>
              <a:effectLst/>
            </c:spPr>
          </c:marker>
          <c:xVal>
            <c:numRef>
              <c:f>placement_data!$D$2:$D$81</c:f>
              <c:numCache>
                <c:formatCode>0.00</c:formatCode>
                <c:ptCount val="80"/>
                <c:pt idx="0">
                  <c:v>8.5</c:v>
                </c:pt>
                <c:pt idx="1">
                  <c:v>7.2</c:v>
                </c:pt>
                <c:pt idx="2">
                  <c:v>6.8</c:v>
                </c:pt>
                <c:pt idx="3">
                  <c:v>9.1</c:v>
                </c:pt>
                <c:pt idx="4">
                  <c:v>7</c:v>
                </c:pt>
                <c:pt idx="5">
                  <c:v>8</c:v>
                </c:pt>
                <c:pt idx="6">
                  <c:v>9.3000000000000007</c:v>
                </c:pt>
                <c:pt idx="7">
                  <c:v>6.5</c:v>
                </c:pt>
                <c:pt idx="8">
                  <c:v>7.8</c:v>
                </c:pt>
                <c:pt idx="9">
                  <c:v>8.6999999999999993</c:v>
                </c:pt>
                <c:pt idx="10">
                  <c:v>7.9</c:v>
                </c:pt>
                <c:pt idx="11">
                  <c:v>9</c:v>
                </c:pt>
                <c:pt idx="12">
                  <c:v>6.9</c:v>
                </c:pt>
                <c:pt idx="13">
                  <c:v>8.1999999999999993</c:v>
                </c:pt>
                <c:pt idx="14">
                  <c:v>7.1</c:v>
                </c:pt>
                <c:pt idx="15">
                  <c:v>8.8000000000000007</c:v>
                </c:pt>
                <c:pt idx="16">
                  <c:v>9.4</c:v>
                </c:pt>
                <c:pt idx="17">
                  <c:v>7.4</c:v>
                </c:pt>
                <c:pt idx="18">
                  <c:v>6.7</c:v>
                </c:pt>
                <c:pt idx="19">
                  <c:v>8.9</c:v>
                </c:pt>
                <c:pt idx="20">
                  <c:v>8.1</c:v>
                </c:pt>
                <c:pt idx="21">
                  <c:v>7</c:v>
                </c:pt>
                <c:pt idx="22">
                  <c:v>9.1999999999999993</c:v>
                </c:pt>
                <c:pt idx="23">
                  <c:v>8.3000000000000007</c:v>
                </c:pt>
                <c:pt idx="24">
                  <c:v>6.6</c:v>
                </c:pt>
                <c:pt idx="25">
                  <c:v>8.5</c:v>
                </c:pt>
                <c:pt idx="26">
                  <c:v>7.5</c:v>
                </c:pt>
                <c:pt idx="27">
                  <c:v>9.1</c:v>
                </c:pt>
                <c:pt idx="28">
                  <c:v>6.8</c:v>
                </c:pt>
                <c:pt idx="29">
                  <c:v>7.9</c:v>
                </c:pt>
                <c:pt idx="30">
                  <c:v>8.6</c:v>
                </c:pt>
                <c:pt idx="31">
                  <c:v>8.4</c:v>
                </c:pt>
                <c:pt idx="32">
                  <c:v>7.2</c:v>
                </c:pt>
                <c:pt idx="33">
                  <c:v>8</c:v>
                </c:pt>
                <c:pt idx="34">
                  <c:v>6.9</c:v>
                </c:pt>
                <c:pt idx="35">
                  <c:v>9.3000000000000007</c:v>
                </c:pt>
                <c:pt idx="36">
                  <c:v>8.1999999999999993</c:v>
                </c:pt>
                <c:pt idx="37">
                  <c:v>7.3</c:v>
                </c:pt>
                <c:pt idx="38">
                  <c:v>6.5</c:v>
                </c:pt>
                <c:pt idx="39">
                  <c:v>8.8000000000000007</c:v>
                </c:pt>
                <c:pt idx="40">
                  <c:v>7.4</c:v>
                </c:pt>
                <c:pt idx="41">
                  <c:v>8.6999999999999993</c:v>
                </c:pt>
                <c:pt idx="42">
                  <c:v>9.5</c:v>
                </c:pt>
                <c:pt idx="43">
                  <c:v>7.6</c:v>
                </c:pt>
                <c:pt idx="44">
                  <c:v>6.8</c:v>
                </c:pt>
                <c:pt idx="45">
                  <c:v>8.9</c:v>
                </c:pt>
                <c:pt idx="46">
                  <c:v>8</c:v>
                </c:pt>
                <c:pt idx="47">
                  <c:v>7.1</c:v>
                </c:pt>
                <c:pt idx="48">
                  <c:v>6.7</c:v>
                </c:pt>
                <c:pt idx="49">
                  <c:v>9</c:v>
                </c:pt>
                <c:pt idx="50">
                  <c:v>8.3000000000000007</c:v>
                </c:pt>
                <c:pt idx="51">
                  <c:v>7.2</c:v>
                </c:pt>
                <c:pt idx="52">
                  <c:v>9.1</c:v>
                </c:pt>
                <c:pt idx="53">
                  <c:v>8.1</c:v>
                </c:pt>
                <c:pt idx="54">
                  <c:v>6.9</c:v>
                </c:pt>
                <c:pt idx="55">
                  <c:v>8.6</c:v>
                </c:pt>
                <c:pt idx="56">
                  <c:v>9.4</c:v>
                </c:pt>
                <c:pt idx="57">
                  <c:v>7.5</c:v>
                </c:pt>
                <c:pt idx="58">
                  <c:v>6.6</c:v>
                </c:pt>
                <c:pt idx="59">
                  <c:v>8.6999999999999993</c:v>
                </c:pt>
                <c:pt idx="60">
                  <c:v>8.1</c:v>
                </c:pt>
                <c:pt idx="61">
                  <c:v>7</c:v>
                </c:pt>
                <c:pt idx="62">
                  <c:v>9.1999999999999993</c:v>
                </c:pt>
                <c:pt idx="63">
                  <c:v>8.1999999999999993</c:v>
                </c:pt>
                <c:pt idx="64">
                  <c:v>6.7</c:v>
                </c:pt>
                <c:pt idx="65">
                  <c:v>8.5</c:v>
                </c:pt>
                <c:pt idx="66">
                  <c:v>9.3000000000000007</c:v>
                </c:pt>
                <c:pt idx="67">
                  <c:v>7.4</c:v>
                </c:pt>
                <c:pt idx="68">
                  <c:v>6.8</c:v>
                </c:pt>
                <c:pt idx="69">
                  <c:v>8.9</c:v>
                </c:pt>
                <c:pt idx="70">
                  <c:v>8.1999999999999993</c:v>
                </c:pt>
                <c:pt idx="71">
                  <c:v>7.1</c:v>
                </c:pt>
                <c:pt idx="72">
                  <c:v>9</c:v>
                </c:pt>
                <c:pt idx="73">
                  <c:v>8</c:v>
                </c:pt>
                <c:pt idx="74">
                  <c:v>6.9</c:v>
                </c:pt>
                <c:pt idx="75">
                  <c:v>8.4</c:v>
                </c:pt>
                <c:pt idx="76">
                  <c:v>9.5</c:v>
                </c:pt>
                <c:pt idx="77">
                  <c:v>7.6</c:v>
                </c:pt>
                <c:pt idx="78">
                  <c:v>6.5</c:v>
                </c:pt>
                <c:pt idx="79">
                  <c:v>8.8000000000000007</c:v>
                </c:pt>
              </c:numCache>
            </c:numRef>
          </c:xVal>
          <c:yVal>
            <c:numRef>
              <c:f>placement_data!$J$2:$J$81</c:f>
              <c:numCache>
                <c:formatCode>General</c:formatCode>
                <c:ptCount val="80"/>
                <c:pt idx="0">
                  <c:v>7</c:v>
                </c:pt>
                <c:pt idx="1">
                  <c:v>5</c:v>
                </c:pt>
                <c:pt idx="2">
                  <c:v>0</c:v>
                </c:pt>
                <c:pt idx="3">
                  <c:v>12</c:v>
                </c:pt>
                <c:pt idx="4">
                  <c:v>0</c:v>
                </c:pt>
                <c:pt idx="5">
                  <c:v>6</c:v>
                </c:pt>
                <c:pt idx="6">
                  <c:v>15</c:v>
                </c:pt>
                <c:pt idx="7">
                  <c:v>0</c:v>
                </c:pt>
                <c:pt idx="8">
                  <c:v>5</c:v>
                </c:pt>
                <c:pt idx="9">
                  <c:v>10</c:v>
                </c:pt>
                <c:pt idx="10">
                  <c:v>6</c:v>
                </c:pt>
                <c:pt idx="11">
                  <c:v>13</c:v>
                </c:pt>
                <c:pt idx="12">
                  <c:v>0</c:v>
                </c:pt>
                <c:pt idx="13">
                  <c:v>7</c:v>
                </c:pt>
                <c:pt idx="14">
                  <c:v>0</c:v>
                </c:pt>
                <c:pt idx="15">
                  <c:v>11</c:v>
                </c:pt>
                <c:pt idx="16">
                  <c:v>16</c:v>
                </c:pt>
                <c:pt idx="17">
                  <c:v>5</c:v>
                </c:pt>
                <c:pt idx="18">
                  <c:v>0</c:v>
                </c:pt>
                <c:pt idx="19">
                  <c:v>12</c:v>
                </c:pt>
                <c:pt idx="20">
                  <c:v>7</c:v>
                </c:pt>
                <c:pt idx="21">
                  <c:v>0</c:v>
                </c:pt>
                <c:pt idx="22">
                  <c:v>14</c:v>
                </c:pt>
                <c:pt idx="23">
                  <c:v>8</c:v>
                </c:pt>
                <c:pt idx="24">
                  <c:v>0</c:v>
                </c:pt>
                <c:pt idx="25">
                  <c:v>10</c:v>
                </c:pt>
                <c:pt idx="26">
                  <c:v>5</c:v>
                </c:pt>
                <c:pt idx="27">
                  <c:v>15</c:v>
                </c:pt>
                <c:pt idx="28">
                  <c:v>0</c:v>
                </c:pt>
                <c:pt idx="29">
                  <c:v>6</c:v>
                </c:pt>
                <c:pt idx="30">
                  <c:v>10</c:v>
                </c:pt>
                <c:pt idx="31">
                  <c:v>9</c:v>
                </c:pt>
                <c:pt idx="32">
                  <c:v>4</c:v>
                </c:pt>
                <c:pt idx="33">
                  <c:v>7</c:v>
                </c:pt>
                <c:pt idx="34">
                  <c:v>0</c:v>
                </c:pt>
                <c:pt idx="35">
                  <c:v>16</c:v>
                </c:pt>
                <c:pt idx="36">
                  <c:v>8</c:v>
                </c:pt>
                <c:pt idx="37">
                  <c:v>5</c:v>
                </c:pt>
                <c:pt idx="38">
                  <c:v>0</c:v>
                </c:pt>
                <c:pt idx="39">
                  <c:v>12</c:v>
                </c:pt>
                <c:pt idx="40">
                  <c:v>5</c:v>
                </c:pt>
                <c:pt idx="41">
                  <c:v>11</c:v>
                </c:pt>
                <c:pt idx="42">
                  <c:v>18</c:v>
                </c:pt>
                <c:pt idx="43">
                  <c:v>6</c:v>
                </c:pt>
                <c:pt idx="44">
                  <c:v>0</c:v>
                </c:pt>
                <c:pt idx="45">
                  <c:v>13</c:v>
                </c:pt>
                <c:pt idx="46">
                  <c:v>7</c:v>
                </c:pt>
                <c:pt idx="47">
                  <c:v>0</c:v>
                </c:pt>
                <c:pt idx="48">
                  <c:v>0</c:v>
                </c:pt>
                <c:pt idx="49">
                  <c:v>15</c:v>
                </c:pt>
                <c:pt idx="50">
                  <c:v>9</c:v>
                </c:pt>
                <c:pt idx="51">
                  <c:v>4</c:v>
                </c:pt>
                <c:pt idx="52">
                  <c:v>14</c:v>
                </c:pt>
                <c:pt idx="53">
                  <c:v>7</c:v>
                </c:pt>
                <c:pt idx="54">
                  <c:v>0</c:v>
                </c:pt>
                <c:pt idx="55">
                  <c:v>10</c:v>
                </c:pt>
                <c:pt idx="56">
                  <c:v>17</c:v>
                </c:pt>
                <c:pt idx="57">
                  <c:v>5</c:v>
                </c:pt>
                <c:pt idx="58">
                  <c:v>0</c:v>
                </c:pt>
                <c:pt idx="59">
                  <c:v>11</c:v>
                </c:pt>
                <c:pt idx="60">
                  <c:v>8</c:v>
                </c:pt>
                <c:pt idx="61">
                  <c:v>0</c:v>
                </c:pt>
                <c:pt idx="62">
                  <c:v>16</c:v>
                </c:pt>
                <c:pt idx="63">
                  <c:v>8</c:v>
                </c:pt>
                <c:pt idx="64">
                  <c:v>0</c:v>
                </c:pt>
                <c:pt idx="65">
                  <c:v>10</c:v>
                </c:pt>
                <c:pt idx="66">
                  <c:v>18</c:v>
                </c:pt>
                <c:pt idx="67">
                  <c:v>5</c:v>
                </c:pt>
                <c:pt idx="68">
                  <c:v>0</c:v>
                </c:pt>
                <c:pt idx="69">
                  <c:v>13</c:v>
                </c:pt>
                <c:pt idx="70">
                  <c:v>8</c:v>
                </c:pt>
                <c:pt idx="71">
                  <c:v>0</c:v>
                </c:pt>
                <c:pt idx="72">
                  <c:v>15</c:v>
                </c:pt>
                <c:pt idx="73">
                  <c:v>7</c:v>
                </c:pt>
                <c:pt idx="74">
                  <c:v>0</c:v>
                </c:pt>
                <c:pt idx="75">
                  <c:v>9</c:v>
                </c:pt>
                <c:pt idx="76">
                  <c:v>19</c:v>
                </c:pt>
                <c:pt idx="77">
                  <c:v>6</c:v>
                </c:pt>
                <c:pt idx="78">
                  <c:v>0</c:v>
                </c:pt>
                <c:pt idx="79">
                  <c:v>12</c:v>
                </c:pt>
              </c:numCache>
            </c:numRef>
          </c:yVal>
          <c:smooth val="0"/>
          <c:extLst>
            <c:ext xmlns:c16="http://schemas.microsoft.com/office/drawing/2014/chart" uri="{C3380CC4-5D6E-409C-BE32-E72D297353CC}">
              <c16:uniqueId val="{00000000-07E0-4ADF-93E7-5A4F56F69E8D}"/>
            </c:ext>
          </c:extLst>
        </c:ser>
        <c:dLbls>
          <c:showLegendKey val="0"/>
          <c:showVal val="0"/>
          <c:showCatName val="0"/>
          <c:showSerName val="0"/>
          <c:showPercent val="0"/>
          <c:showBubbleSize val="0"/>
        </c:dLbls>
        <c:axId val="1967326912"/>
        <c:axId val="1967328352"/>
      </c:scatterChart>
      <c:valAx>
        <c:axId val="1967326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CGPA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67328352"/>
        <c:crosses val="autoZero"/>
        <c:crossBetween val="midCat"/>
      </c:valAx>
      <c:valAx>
        <c:axId val="196732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Salary in LPA</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26912"/>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[Placementdashboard.xlsx]placement_data!PivotTable6</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PLACEMENT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placement_data!$N$102</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89C-42E0-9442-A7241F02DBC1}"/>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89C-42E0-9442-A7241F02DBC1}"/>
              </c:ext>
            </c:extLst>
          </c:dPt>
          <c:dLbls>
            <c:delete val="1"/>
          </c:dLbls>
          <c:cat>
            <c:strRef>
              <c:f>placement_data!$M$103:$M$105</c:f>
              <c:strCache>
                <c:ptCount val="2"/>
                <c:pt idx="0">
                  <c:v>Not Placed</c:v>
                </c:pt>
                <c:pt idx="1">
                  <c:v>Placed</c:v>
                </c:pt>
              </c:strCache>
            </c:strRef>
          </c:cat>
          <c:val>
            <c:numRef>
              <c:f>placement_data!$N$103:$N$105</c:f>
              <c:numCache>
                <c:formatCode>General</c:formatCode>
                <c:ptCount val="2"/>
                <c:pt idx="0">
                  <c:v>22</c:v>
                </c:pt>
                <c:pt idx="1">
                  <c:v>58</c:v>
                </c:pt>
              </c:numCache>
            </c:numRef>
          </c:val>
          <c:extLst>
            <c:ext xmlns:c16="http://schemas.microsoft.com/office/drawing/2014/chart" uri="{C3380CC4-5D6E-409C-BE32-E72D297353CC}">
              <c16:uniqueId val="{00000004-C89C-42E0-9442-A7241F02DBC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1542376</xdr:colOff>
      <xdr:row>7</xdr:row>
      <xdr:rowOff>1</xdr:rowOff>
    </xdr:from>
    <xdr:to>
      <xdr:col>5</xdr:col>
      <xdr:colOff>2166471</xdr:colOff>
      <xdr:row>23</xdr:row>
      <xdr:rowOff>158299</xdr:rowOff>
    </xdr:to>
    <xdr:graphicFrame macro="">
      <xdr:nvGraphicFramePr>
        <xdr:cNvPr id="3" name="Chart 2">
          <a:extLst>
            <a:ext uri="{FF2B5EF4-FFF2-40B4-BE49-F238E27FC236}">
              <a16:creationId xmlns:a16="http://schemas.microsoft.com/office/drawing/2014/main" id="{4B46FB3B-CC86-4ADA-99CB-4D7833213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74707</xdr:colOff>
      <xdr:row>7</xdr:row>
      <xdr:rowOff>14139</xdr:rowOff>
    </xdr:from>
    <xdr:to>
      <xdr:col>10</xdr:col>
      <xdr:colOff>37354</xdr:colOff>
      <xdr:row>23</xdr:row>
      <xdr:rowOff>154644</xdr:rowOff>
    </xdr:to>
    <xdr:graphicFrame macro="">
      <xdr:nvGraphicFramePr>
        <xdr:cNvPr id="4" name="Chart 3">
          <a:extLst>
            <a:ext uri="{FF2B5EF4-FFF2-40B4-BE49-F238E27FC236}">
              <a16:creationId xmlns:a16="http://schemas.microsoft.com/office/drawing/2014/main" id="{451AB966-424F-4C68-B022-0AAE25C26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1525627</xdr:colOff>
      <xdr:row>24</xdr:row>
      <xdr:rowOff>71549</xdr:rowOff>
    </xdr:from>
    <xdr:to>
      <xdr:col>5</xdr:col>
      <xdr:colOff>2166472</xdr:colOff>
      <xdr:row>38</xdr:row>
      <xdr:rowOff>112059</xdr:rowOff>
    </xdr:to>
    <xdr:graphicFrame macro="">
      <xdr:nvGraphicFramePr>
        <xdr:cNvPr id="5" name="Chart 4">
          <a:extLst>
            <a:ext uri="{FF2B5EF4-FFF2-40B4-BE49-F238E27FC236}">
              <a16:creationId xmlns:a16="http://schemas.microsoft.com/office/drawing/2014/main" id="{275E7BCC-8855-46B7-A9A0-C412AD0CB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8943</xdr:colOff>
      <xdr:row>7</xdr:row>
      <xdr:rowOff>17889</xdr:rowOff>
    </xdr:from>
    <xdr:to>
      <xdr:col>1</xdr:col>
      <xdr:colOff>1368380</xdr:colOff>
      <xdr:row>12</xdr:row>
      <xdr:rowOff>89439</xdr:rowOff>
    </xdr:to>
    <mc:AlternateContent xmlns:mc="http://schemas.openxmlformats.org/markup-compatibility/2006" xmlns:a14="http://schemas.microsoft.com/office/drawing/2010/main">
      <mc:Choice Requires="a14">
        <xdr:graphicFrame macro="">
          <xdr:nvGraphicFramePr>
            <xdr:cNvPr id="7" name="Placement_Status 1">
              <a:extLst>
                <a:ext uri="{FF2B5EF4-FFF2-40B4-BE49-F238E27FC236}">
                  <a16:creationId xmlns:a16="http://schemas.microsoft.com/office/drawing/2014/main" id="{7DE9FD01-9ECD-4CCC-98F9-793FD67A1128}"/>
                </a:ext>
              </a:extLst>
            </xdr:cNvPr>
            <xdr:cNvGraphicFramePr/>
          </xdr:nvGraphicFramePr>
          <xdr:xfrm>
            <a:off x="0" y="0"/>
            <a:ext cx="0" cy="0"/>
          </xdr:xfrm>
          <a:graphic>
            <a:graphicData uri="http://schemas.microsoft.com/office/drawing/2010/slicer">
              <sle:slicer xmlns:sle="http://schemas.microsoft.com/office/drawing/2010/slicer" name="Placement_Status 1"/>
            </a:graphicData>
          </a:graphic>
        </xdr:graphicFrame>
      </mc:Choice>
      <mc:Fallback xmlns="">
        <xdr:sp macro="" textlink="">
          <xdr:nvSpPr>
            <xdr:cNvPr id="0" name=""/>
            <xdr:cNvSpPr>
              <a:spLocks noTextEdit="1"/>
            </xdr:cNvSpPr>
          </xdr:nvSpPr>
          <xdr:spPr>
            <a:xfrm>
              <a:off x="625267" y="2128330"/>
              <a:ext cx="1359437" cy="100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608168</xdr:colOff>
      <xdr:row>13</xdr:row>
      <xdr:rowOff>26831</xdr:rowOff>
    </xdr:from>
    <xdr:to>
      <xdr:col>1</xdr:col>
      <xdr:colOff>1377324</xdr:colOff>
      <xdr:row>24</xdr:row>
      <xdr:rowOff>125432</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BCB176EA-D723-4EFD-8112-6C6E0C28F9B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08168" y="3257860"/>
              <a:ext cx="1385480" cy="2153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591385</xdr:colOff>
      <xdr:row>25</xdr:row>
      <xdr:rowOff>101915</xdr:rowOff>
    </xdr:from>
    <xdr:to>
      <xdr:col>1</xdr:col>
      <xdr:colOff>1387371</xdr:colOff>
      <xdr:row>30</xdr:row>
      <xdr:rowOff>128744</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3698614E-3052-41F4-AB26-35F8679A4FD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1385" y="5574121"/>
              <a:ext cx="1412310" cy="960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93383</xdr:colOff>
      <xdr:row>24</xdr:row>
      <xdr:rowOff>90227</xdr:rowOff>
    </xdr:from>
    <xdr:to>
      <xdr:col>10</xdr:col>
      <xdr:colOff>37354</xdr:colOff>
      <xdr:row>38</xdr:row>
      <xdr:rowOff>108114</xdr:rowOff>
    </xdr:to>
    <xdr:graphicFrame macro="">
      <xdr:nvGraphicFramePr>
        <xdr:cNvPr id="2" name="Chart 1">
          <a:extLst>
            <a:ext uri="{FF2B5EF4-FFF2-40B4-BE49-F238E27FC236}">
              <a16:creationId xmlns:a16="http://schemas.microsoft.com/office/drawing/2014/main" id="{0D8626EC-E64F-4E57-8F51-B2C271E5E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12</xdr:col>
      <xdr:colOff>22280</xdr:colOff>
      <xdr:row>4</xdr:row>
      <xdr:rowOff>128114</xdr:rowOff>
    </xdr:from>
    <xdr:ext cx="184731" cy="264560"/>
    <xdr:sp macro="" textlink="">
      <xdr:nvSpPr>
        <xdr:cNvPr id="12" name="TextBox 11">
          <a:extLst>
            <a:ext uri="{FF2B5EF4-FFF2-40B4-BE49-F238E27FC236}">
              <a16:creationId xmlns:a16="http://schemas.microsoft.com/office/drawing/2014/main" id="{29E6FD01-0F65-CA73-A710-002D7A57A94E}"/>
            </a:ext>
          </a:extLst>
        </xdr:cNvPr>
        <xdr:cNvSpPr txBox="1"/>
      </xdr:nvSpPr>
      <xdr:spPr>
        <a:xfrm>
          <a:off x="14404473" y="10026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20232</xdr:colOff>
      <xdr:row>39</xdr:row>
      <xdr:rowOff>55250</xdr:rowOff>
    </xdr:from>
    <xdr:to>
      <xdr:col>10</xdr:col>
      <xdr:colOff>56029</xdr:colOff>
      <xdr:row>47</xdr:row>
      <xdr:rowOff>28793</xdr:rowOff>
    </xdr:to>
    <xdr:sp macro="" textlink="">
      <xdr:nvSpPr>
        <xdr:cNvPr id="13" name="TextBox 12">
          <a:extLst>
            <a:ext uri="{FF2B5EF4-FFF2-40B4-BE49-F238E27FC236}">
              <a16:creationId xmlns:a16="http://schemas.microsoft.com/office/drawing/2014/main" id="{79724EB7-FEFC-93A0-5357-D1DD8332BA00}"/>
            </a:ext>
          </a:extLst>
        </xdr:cNvPr>
        <xdr:cNvSpPr txBox="1"/>
      </xdr:nvSpPr>
      <xdr:spPr>
        <a:xfrm>
          <a:off x="636556" y="8142162"/>
          <a:ext cx="13464179" cy="146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Insights :</a:t>
          </a:r>
        </a:p>
        <a:p>
          <a:r>
            <a:rPr lang="en-IN" sz="1400"/>
            <a:t>• Placement Rate: 72.5%</a:t>
          </a:r>
          <a:br>
            <a:rPr lang="en-IN" sz="1400"/>
          </a:br>
          <a:r>
            <a:rPr lang="en-IN" sz="1400"/>
            <a:t>• CSE has the highest placements.</a:t>
          </a:r>
          <a:br>
            <a:rPr lang="en-IN" sz="1400"/>
          </a:br>
          <a:r>
            <a:rPr lang="en-IN" sz="1400"/>
            <a:t>• Average Package for placed students: 9.86 LPA.</a:t>
          </a:r>
          <a:br>
            <a:rPr lang="en-IN" sz="1400"/>
          </a:br>
          <a:r>
            <a:rPr lang="en-IN" sz="1400"/>
            <a:t>• Higher CGPA generally leads to higher salary packages.</a:t>
          </a:r>
          <a:br>
            <a:rPr lang="en-IN" sz="1400"/>
          </a:br>
          <a:r>
            <a:rPr lang="en-IN" sz="1400"/>
            <a:t>• IT and CSE students received better salary offers.</a:t>
          </a:r>
        </a:p>
        <a:p>
          <a:endParaRPr lang="en-IN" sz="1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 Bharathi" refreshedDate="46170.502342129628" createdVersion="8" refreshedVersion="8" minRefreshableVersion="3" recordCount="80" xr:uid="{889B9767-AD3E-4E17-9423-1AC2C5CF8175}">
  <cacheSource type="worksheet">
    <worksheetSource name="placement_data"/>
  </cacheSource>
  <cacheFields count="13">
    <cacheField name="Student_ID" numFmtId="0">
      <sharedItems count="8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haredItems>
    </cacheField>
    <cacheField name="Gender" numFmtId="0">
      <sharedItems count="2">
        <s v="Male"/>
        <s v="Female"/>
      </sharedItems>
    </cacheField>
    <cacheField name="Department" numFmtId="0">
      <sharedItems count="6">
        <s v="CSE"/>
        <s v="ECE"/>
        <s v="EEE"/>
        <s v="MECH"/>
        <s v="CIVIL"/>
        <s v="IT"/>
      </sharedItems>
    </cacheField>
    <cacheField name="CGPA" numFmtId="2">
      <sharedItems containsSemiMixedTypes="0" containsString="0" containsNumber="1" minValue="6.5" maxValue="9.5" count="30">
        <n v="8.5"/>
        <n v="7.2"/>
        <n v="6.8"/>
        <n v="9.1"/>
        <n v="7"/>
        <n v="8"/>
        <n v="9.3000000000000007"/>
        <n v="6.5"/>
        <n v="7.8"/>
        <n v="8.6999999999999993"/>
        <n v="7.9"/>
        <n v="9"/>
        <n v="6.9"/>
        <n v="8.1999999999999993"/>
        <n v="7.1"/>
        <n v="8.8000000000000007"/>
        <n v="9.4"/>
        <n v="7.4"/>
        <n v="6.7"/>
        <n v="8.9"/>
        <n v="8.1"/>
        <n v="9.1999999999999993"/>
        <n v="8.3000000000000007"/>
        <n v="6.6"/>
        <n v="7.5"/>
        <n v="8.6"/>
        <n v="8.4"/>
        <n v="7.3"/>
        <n v="9.5"/>
        <n v="7.6"/>
      </sharedItems>
    </cacheField>
    <cacheField name="Internships" numFmtId="0">
      <sharedItems containsSemiMixedTypes="0" containsString="0" containsNumber="1" containsInteger="1" minValue="0" maxValue="4" count="5">
        <n v="2"/>
        <n v="1"/>
        <n v="0"/>
        <n v="3"/>
        <n v="4"/>
      </sharedItems>
    </cacheField>
    <cacheField name="Aptitude_Score" numFmtId="0">
      <sharedItems containsSemiMixedTypes="0" containsString="0" containsNumber="1" containsInteger="1" minValue="50" maxValue="97"/>
    </cacheField>
    <cacheField name="Communication_Score" numFmtId="0">
      <sharedItems containsSemiMixedTypes="0" containsString="0" containsNumber="1" containsInteger="1" minValue="56" maxValue="99"/>
    </cacheField>
    <cacheField name="Attendance" numFmtId="0">
      <sharedItems containsSemiMixedTypes="0" containsString="0" containsNumber="1" containsInteger="1" minValue="73" maxValue="100"/>
    </cacheField>
    <cacheField name="Placement_Status" numFmtId="0">
      <sharedItems count="2">
        <s v="Placed"/>
        <s v="Not Placed"/>
      </sharedItems>
    </cacheField>
    <cacheField name="Salary_LPA" numFmtId="0">
      <sharedItems containsSemiMixedTypes="0" containsString="0" containsNumber="1" containsInteger="1" minValue="0" maxValue="19" count="17">
        <n v="7"/>
        <n v="5"/>
        <n v="0"/>
        <n v="12"/>
        <n v="6"/>
        <n v="15"/>
        <n v="10"/>
        <n v="13"/>
        <n v="11"/>
        <n v="16"/>
        <n v="14"/>
        <n v="8"/>
        <n v="9"/>
        <n v="4"/>
        <n v="18"/>
        <n v="17"/>
        <n v="19"/>
      </sharedItems>
    </cacheField>
    <cacheField name="Average Score" numFmtId="0">
      <sharedItems containsSemiMixedTypes="0" containsString="0" containsNumber="1" minValue="53.5" maxValue="98"/>
    </cacheField>
    <cacheField name="Performance" numFmtId="0">
      <sharedItems count="3">
        <s v="Good"/>
        <s v="Average"/>
        <s v="Excellent"/>
      </sharedItems>
    </cacheField>
    <cacheField name="Eligibility" numFmtId="0">
      <sharedItems/>
    </cacheField>
  </cacheFields>
  <extLst>
    <ext xmlns:x14="http://schemas.microsoft.com/office/spreadsheetml/2009/9/main" uri="{725AE2AE-9491-48be-B2B4-4EB974FC3084}">
      <x14:pivotCacheDefinition pivotCacheId="18913403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 Bharathi" refreshedDate="46170.538805324075" createdVersion="8" refreshedVersion="8" minRefreshableVersion="3" recordCount="80" xr:uid="{B3BD4592-C424-4E75-8AD2-1412738523D1}">
  <cacheSource type="worksheet">
    <worksheetSource name="Table2"/>
  </cacheSource>
  <cacheFields count="2">
    <cacheField name="Department" numFmtId="0">
      <sharedItems count="6">
        <s v="CSE"/>
        <s v="ECE"/>
        <s v="EEE"/>
        <s v="MECH"/>
        <s v="CIVIL"/>
        <s v="IT"/>
      </sharedItems>
    </cacheField>
    <cacheField name="Placement_Status" numFmtId="0">
      <sharedItems count="2">
        <s v="Placed"/>
        <s v="Not Plac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x v="0"/>
    <x v="0"/>
    <n v="78"/>
    <n v="82"/>
    <n v="90"/>
    <x v="0"/>
    <x v="0"/>
    <n v="80"/>
    <x v="0"/>
    <s v="Eligible"/>
  </r>
  <r>
    <x v="1"/>
    <x v="1"/>
    <x v="1"/>
    <x v="1"/>
    <x v="1"/>
    <n v="65"/>
    <n v="75"/>
    <n v="85"/>
    <x v="0"/>
    <x v="1"/>
    <n v="70"/>
    <x v="0"/>
    <s v="Eligible"/>
  </r>
  <r>
    <x v="2"/>
    <x v="0"/>
    <x v="2"/>
    <x v="2"/>
    <x v="2"/>
    <n v="55"/>
    <n v="60"/>
    <n v="80"/>
    <x v="1"/>
    <x v="2"/>
    <n v="57.5"/>
    <x v="1"/>
    <s v="Not Eligible"/>
  </r>
  <r>
    <x v="3"/>
    <x v="1"/>
    <x v="0"/>
    <x v="3"/>
    <x v="3"/>
    <n v="88"/>
    <n v="91"/>
    <n v="95"/>
    <x v="0"/>
    <x v="3"/>
    <n v="89.5"/>
    <x v="2"/>
    <s v="Eligible"/>
  </r>
  <r>
    <x v="4"/>
    <x v="0"/>
    <x v="3"/>
    <x v="4"/>
    <x v="1"/>
    <n v="62"/>
    <n v="68"/>
    <n v="78"/>
    <x v="1"/>
    <x v="2"/>
    <n v="65"/>
    <x v="1"/>
    <s v="Not Eligible"/>
  </r>
  <r>
    <x v="5"/>
    <x v="1"/>
    <x v="4"/>
    <x v="5"/>
    <x v="0"/>
    <n v="72"/>
    <n v="80"/>
    <n v="88"/>
    <x v="0"/>
    <x v="4"/>
    <n v="76"/>
    <x v="0"/>
    <s v="Eligible"/>
  </r>
  <r>
    <x v="6"/>
    <x v="0"/>
    <x v="0"/>
    <x v="6"/>
    <x v="4"/>
    <n v="92"/>
    <n v="95"/>
    <n v="97"/>
    <x v="0"/>
    <x v="5"/>
    <n v="93.5"/>
    <x v="2"/>
    <s v="Eligible"/>
  </r>
  <r>
    <x v="7"/>
    <x v="1"/>
    <x v="1"/>
    <x v="7"/>
    <x v="2"/>
    <n v="50"/>
    <n v="58"/>
    <n v="75"/>
    <x v="1"/>
    <x v="2"/>
    <n v="54"/>
    <x v="1"/>
    <s v="Not Eligible"/>
  </r>
  <r>
    <x v="8"/>
    <x v="0"/>
    <x v="2"/>
    <x v="8"/>
    <x v="1"/>
    <n v="70"/>
    <n v="72"/>
    <n v="84"/>
    <x v="0"/>
    <x v="1"/>
    <n v="71"/>
    <x v="0"/>
    <s v="Eligible"/>
  </r>
  <r>
    <x v="9"/>
    <x v="1"/>
    <x v="0"/>
    <x v="9"/>
    <x v="0"/>
    <n v="85"/>
    <n v="89"/>
    <n v="92"/>
    <x v="0"/>
    <x v="6"/>
    <n v="87"/>
    <x v="2"/>
    <s v="Eligible"/>
  </r>
  <r>
    <x v="10"/>
    <x v="0"/>
    <x v="5"/>
    <x v="10"/>
    <x v="0"/>
    <n v="74"/>
    <n v="78"/>
    <n v="88"/>
    <x v="0"/>
    <x v="4"/>
    <n v="76"/>
    <x v="0"/>
    <s v="Eligible"/>
  </r>
  <r>
    <x v="11"/>
    <x v="1"/>
    <x v="0"/>
    <x v="11"/>
    <x v="3"/>
    <n v="90"/>
    <n v="93"/>
    <n v="96"/>
    <x v="0"/>
    <x v="7"/>
    <n v="91.5"/>
    <x v="2"/>
    <s v="Eligible"/>
  </r>
  <r>
    <x v="12"/>
    <x v="0"/>
    <x v="3"/>
    <x v="12"/>
    <x v="1"/>
    <n v="60"/>
    <n v="65"/>
    <n v="79"/>
    <x v="1"/>
    <x v="2"/>
    <n v="62.5"/>
    <x v="1"/>
    <s v="Not Eligible"/>
  </r>
  <r>
    <x v="13"/>
    <x v="1"/>
    <x v="1"/>
    <x v="13"/>
    <x v="0"/>
    <n v="77"/>
    <n v="81"/>
    <n v="90"/>
    <x v="0"/>
    <x v="0"/>
    <n v="79"/>
    <x v="0"/>
    <s v="Eligible"/>
  </r>
  <r>
    <x v="14"/>
    <x v="0"/>
    <x v="4"/>
    <x v="14"/>
    <x v="2"/>
    <n v="58"/>
    <n v="63"/>
    <n v="82"/>
    <x v="1"/>
    <x v="2"/>
    <n v="60.5"/>
    <x v="1"/>
    <s v="Eligible"/>
  </r>
  <r>
    <x v="15"/>
    <x v="1"/>
    <x v="5"/>
    <x v="15"/>
    <x v="3"/>
    <n v="86"/>
    <n v="90"/>
    <n v="94"/>
    <x v="0"/>
    <x v="8"/>
    <n v="88"/>
    <x v="2"/>
    <s v="Eligible"/>
  </r>
  <r>
    <x v="16"/>
    <x v="0"/>
    <x v="0"/>
    <x v="16"/>
    <x v="4"/>
    <n v="95"/>
    <n v="96"/>
    <n v="98"/>
    <x v="0"/>
    <x v="9"/>
    <n v="95.5"/>
    <x v="2"/>
    <s v="Eligible"/>
  </r>
  <r>
    <x v="17"/>
    <x v="1"/>
    <x v="2"/>
    <x v="17"/>
    <x v="1"/>
    <n v="68"/>
    <n v="74"/>
    <n v="86"/>
    <x v="0"/>
    <x v="1"/>
    <n v="71"/>
    <x v="0"/>
    <s v="Eligible"/>
  </r>
  <r>
    <x v="18"/>
    <x v="0"/>
    <x v="1"/>
    <x v="18"/>
    <x v="2"/>
    <n v="54"/>
    <n v="59"/>
    <n v="77"/>
    <x v="1"/>
    <x v="2"/>
    <n v="56.5"/>
    <x v="1"/>
    <s v="Not Eligible"/>
  </r>
  <r>
    <x v="19"/>
    <x v="1"/>
    <x v="0"/>
    <x v="19"/>
    <x v="0"/>
    <n v="87"/>
    <n v="92"/>
    <n v="95"/>
    <x v="0"/>
    <x v="3"/>
    <n v="89.5"/>
    <x v="2"/>
    <s v="Eligible"/>
  </r>
  <r>
    <x v="20"/>
    <x v="0"/>
    <x v="5"/>
    <x v="20"/>
    <x v="0"/>
    <n v="76"/>
    <n v="79"/>
    <n v="89"/>
    <x v="0"/>
    <x v="0"/>
    <n v="77.5"/>
    <x v="0"/>
    <s v="Eligible"/>
  </r>
  <r>
    <x v="21"/>
    <x v="1"/>
    <x v="3"/>
    <x v="4"/>
    <x v="1"/>
    <n v="64"/>
    <n v="69"/>
    <n v="81"/>
    <x v="1"/>
    <x v="2"/>
    <n v="66.5"/>
    <x v="1"/>
    <s v="Not Eligible"/>
  </r>
  <r>
    <x v="22"/>
    <x v="0"/>
    <x v="0"/>
    <x v="21"/>
    <x v="3"/>
    <n v="91"/>
    <n v="94"/>
    <n v="97"/>
    <x v="0"/>
    <x v="10"/>
    <n v="92.5"/>
    <x v="2"/>
    <s v="Eligible"/>
  </r>
  <r>
    <x v="23"/>
    <x v="1"/>
    <x v="1"/>
    <x v="22"/>
    <x v="0"/>
    <n v="79"/>
    <n v="83"/>
    <n v="91"/>
    <x v="0"/>
    <x v="11"/>
    <n v="81"/>
    <x v="0"/>
    <s v="Eligible"/>
  </r>
  <r>
    <x v="24"/>
    <x v="0"/>
    <x v="4"/>
    <x v="23"/>
    <x v="2"/>
    <n v="52"/>
    <n v="57"/>
    <n v="74"/>
    <x v="1"/>
    <x v="2"/>
    <n v="54.5"/>
    <x v="1"/>
    <s v="Not Eligible"/>
  </r>
  <r>
    <x v="25"/>
    <x v="1"/>
    <x v="5"/>
    <x v="0"/>
    <x v="0"/>
    <n v="82"/>
    <n v="87"/>
    <n v="93"/>
    <x v="0"/>
    <x v="6"/>
    <n v="84.5"/>
    <x v="0"/>
    <s v="Eligible"/>
  </r>
  <r>
    <x v="26"/>
    <x v="0"/>
    <x v="2"/>
    <x v="24"/>
    <x v="1"/>
    <n v="69"/>
    <n v="73"/>
    <n v="85"/>
    <x v="0"/>
    <x v="1"/>
    <n v="71"/>
    <x v="0"/>
    <s v="Eligible"/>
  </r>
  <r>
    <x v="27"/>
    <x v="1"/>
    <x v="0"/>
    <x v="3"/>
    <x v="4"/>
    <n v="93"/>
    <n v="95"/>
    <n v="98"/>
    <x v="0"/>
    <x v="5"/>
    <n v="94"/>
    <x v="2"/>
    <s v="Eligible"/>
  </r>
  <r>
    <x v="28"/>
    <x v="0"/>
    <x v="1"/>
    <x v="2"/>
    <x v="2"/>
    <n v="56"/>
    <n v="61"/>
    <n v="78"/>
    <x v="1"/>
    <x v="2"/>
    <n v="58.5"/>
    <x v="1"/>
    <s v="Not Eligible"/>
  </r>
  <r>
    <x v="29"/>
    <x v="1"/>
    <x v="4"/>
    <x v="10"/>
    <x v="0"/>
    <n v="73"/>
    <n v="77"/>
    <n v="88"/>
    <x v="0"/>
    <x v="4"/>
    <n v="75"/>
    <x v="0"/>
    <s v="Eligible"/>
  </r>
  <r>
    <x v="30"/>
    <x v="0"/>
    <x v="0"/>
    <x v="25"/>
    <x v="0"/>
    <n v="84"/>
    <n v="88"/>
    <n v="92"/>
    <x v="0"/>
    <x v="6"/>
    <n v="86"/>
    <x v="2"/>
    <s v="Eligible"/>
  </r>
  <r>
    <x v="31"/>
    <x v="1"/>
    <x v="5"/>
    <x v="26"/>
    <x v="0"/>
    <n v="80"/>
    <n v="85"/>
    <n v="91"/>
    <x v="0"/>
    <x v="12"/>
    <n v="82.5"/>
    <x v="0"/>
    <s v="Eligible"/>
  </r>
  <r>
    <x v="32"/>
    <x v="0"/>
    <x v="3"/>
    <x v="1"/>
    <x v="1"/>
    <n v="65"/>
    <n v="70"/>
    <n v="83"/>
    <x v="0"/>
    <x v="13"/>
    <n v="67.5"/>
    <x v="1"/>
    <s v="Eligible"/>
  </r>
  <r>
    <x v="33"/>
    <x v="1"/>
    <x v="1"/>
    <x v="5"/>
    <x v="0"/>
    <n v="75"/>
    <n v="80"/>
    <n v="89"/>
    <x v="0"/>
    <x v="0"/>
    <n v="77.5"/>
    <x v="0"/>
    <s v="Eligible"/>
  </r>
  <r>
    <x v="34"/>
    <x v="0"/>
    <x v="4"/>
    <x v="12"/>
    <x v="2"/>
    <n v="59"/>
    <n v="64"/>
    <n v="79"/>
    <x v="1"/>
    <x v="2"/>
    <n v="61.5"/>
    <x v="1"/>
    <s v="Not Eligible"/>
  </r>
  <r>
    <x v="35"/>
    <x v="1"/>
    <x v="0"/>
    <x v="6"/>
    <x v="4"/>
    <n v="94"/>
    <n v="97"/>
    <n v="99"/>
    <x v="0"/>
    <x v="9"/>
    <n v="95.5"/>
    <x v="2"/>
    <s v="Eligible"/>
  </r>
  <r>
    <x v="36"/>
    <x v="0"/>
    <x v="5"/>
    <x v="13"/>
    <x v="0"/>
    <n v="78"/>
    <n v="82"/>
    <n v="90"/>
    <x v="0"/>
    <x v="11"/>
    <n v="80"/>
    <x v="0"/>
    <s v="Eligible"/>
  </r>
  <r>
    <x v="37"/>
    <x v="1"/>
    <x v="2"/>
    <x v="27"/>
    <x v="1"/>
    <n v="67"/>
    <n v="72"/>
    <n v="84"/>
    <x v="0"/>
    <x v="1"/>
    <n v="69.5"/>
    <x v="1"/>
    <s v="Eligible"/>
  </r>
  <r>
    <x v="38"/>
    <x v="0"/>
    <x v="1"/>
    <x v="7"/>
    <x v="2"/>
    <n v="51"/>
    <n v="56"/>
    <n v="73"/>
    <x v="1"/>
    <x v="2"/>
    <n v="53.5"/>
    <x v="1"/>
    <s v="Not Eligible"/>
  </r>
  <r>
    <x v="39"/>
    <x v="1"/>
    <x v="0"/>
    <x v="15"/>
    <x v="3"/>
    <n v="88"/>
    <n v="91"/>
    <n v="95"/>
    <x v="0"/>
    <x v="3"/>
    <n v="89.5"/>
    <x v="2"/>
    <s v="Eligible"/>
  </r>
  <r>
    <x v="40"/>
    <x v="0"/>
    <x v="4"/>
    <x v="17"/>
    <x v="1"/>
    <n v="66"/>
    <n v="71"/>
    <n v="85"/>
    <x v="0"/>
    <x v="1"/>
    <n v="68.5"/>
    <x v="1"/>
    <s v="Eligible"/>
  </r>
  <r>
    <x v="41"/>
    <x v="1"/>
    <x v="5"/>
    <x v="9"/>
    <x v="3"/>
    <n v="85"/>
    <n v="89"/>
    <n v="94"/>
    <x v="0"/>
    <x v="8"/>
    <n v="87"/>
    <x v="2"/>
    <s v="Eligible"/>
  </r>
  <r>
    <x v="42"/>
    <x v="0"/>
    <x v="0"/>
    <x v="28"/>
    <x v="4"/>
    <n v="96"/>
    <n v="98"/>
    <n v="99"/>
    <x v="0"/>
    <x v="14"/>
    <n v="97"/>
    <x v="2"/>
    <s v="Eligible"/>
  </r>
  <r>
    <x v="43"/>
    <x v="1"/>
    <x v="1"/>
    <x v="29"/>
    <x v="1"/>
    <n v="70"/>
    <n v="76"/>
    <n v="87"/>
    <x v="0"/>
    <x v="4"/>
    <n v="73"/>
    <x v="0"/>
    <s v="Eligible"/>
  </r>
  <r>
    <x v="44"/>
    <x v="0"/>
    <x v="3"/>
    <x v="2"/>
    <x v="2"/>
    <n v="57"/>
    <n v="62"/>
    <n v="76"/>
    <x v="1"/>
    <x v="2"/>
    <n v="59.5"/>
    <x v="1"/>
    <s v="Not Eligible"/>
  </r>
  <r>
    <x v="45"/>
    <x v="1"/>
    <x v="0"/>
    <x v="19"/>
    <x v="3"/>
    <n v="89"/>
    <n v="93"/>
    <n v="96"/>
    <x v="0"/>
    <x v="7"/>
    <n v="91"/>
    <x v="2"/>
    <s v="Eligible"/>
  </r>
  <r>
    <x v="46"/>
    <x v="0"/>
    <x v="5"/>
    <x v="5"/>
    <x v="0"/>
    <n v="74"/>
    <n v="79"/>
    <n v="88"/>
    <x v="0"/>
    <x v="0"/>
    <n v="76.5"/>
    <x v="0"/>
    <s v="Eligible"/>
  </r>
  <r>
    <x v="47"/>
    <x v="1"/>
    <x v="2"/>
    <x v="14"/>
    <x v="1"/>
    <n v="63"/>
    <n v="68"/>
    <n v="82"/>
    <x v="1"/>
    <x v="2"/>
    <n v="65.5"/>
    <x v="1"/>
    <s v="Eligible"/>
  </r>
  <r>
    <x v="48"/>
    <x v="0"/>
    <x v="1"/>
    <x v="18"/>
    <x v="2"/>
    <n v="55"/>
    <n v="60"/>
    <n v="75"/>
    <x v="1"/>
    <x v="2"/>
    <n v="57.5"/>
    <x v="1"/>
    <s v="Not Eligible"/>
  </r>
  <r>
    <x v="49"/>
    <x v="1"/>
    <x v="0"/>
    <x v="11"/>
    <x v="4"/>
    <n v="92"/>
    <n v="96"/>
    <n v="98"/>
    <x v="0"/>
    <x v="5"/>
    <n v="94"/>
    <x v="2"/>
    <s v="Eligible"/>
  </r>
  <r>
    <x v="50"/>
    <x v="0"/>
    <x v="5"/>
    <x v="22"/>
    <x v="0"/>
    <n v="81"/>
    <n v="84"/>
    <n v="91"/>
    <x v="0"/>
    <x v="12"/>
    <n v="82.5"/>
    <x v="0"/>
    <s v="Eligible"/>
  </r>
  <r>
    <x v="51"/>
    <x v="1"/>
    <x v="4"/>
    <x v="1"/>
    <x v="1"/>
    <n v="64"/>
    <n v="70"/>
    <n v="83"/>
    <x v="0"/>
    <x v="13"/>
    <n v="67"/>
    <x v="1"/>
    <s v="Eligible"/>
  </r>
  <r>
    <x v="52"/>
    <x v="0"/>
    <x v="0"/>
    <x v="3"/>
    <x v="3"/>
    <n v="90"/>
    <n v="94"/>
    <n v="97"/>
    <x v="0"/>
    <x v="10"/>
    <n v="92"/>
    <x v="2"/>
    <s v="Eligible"/>
  </r>
  <r>
    <x v="53"/>
    <x v="1"/>
    <x v="1"/>
    <x v="20"/>
    <x v="0"/>
    <n v="76"/>
    <n v="82"/>
    <n v="90"/>
    <x v="0"/>
    <x v="0"/>
    <n v="79"/>
    <x v="0"/>
    <s v="Eligible"/>
  </r>
  <r>
    <x v="54"/>
    <x v="0"/>
    <x v="3"/>
    <x v="12"/>
    <x v="2"/>
    <n v="58"/>
    <n v="63"/>
    <n v="78"/>
    <x v="1"/>
    <x v="2"/>
    <n v="60.5"/>
    <x v="1"/>
    <s v="Not Eligible"/>
  </r>
  <r>
    <x v="55"/>
    <x v="1"/>
    <x v="5"/>
    <x v="25"/>
    <x v="3"/>
    <n v="84"/>
    <n v="88"/>
    <n v="93"/>
    <x v="0"/>
    <x v="6"/>
    <n v="86"/>
    <x v="2"/>
    <s v="Eligible"/>
  </r>
  <r>
    <x v="56"/>
    <x v="0"/>
    <x v="0"/>
    <x v="16"/>
    <x v="4"/>
    <n v="95"/>
    <n v="97"/>
    <n v="99"/>
    <x v="0"/>
    <x v="15"/>
    <n v="96"/>
    <x v="2"/>
    <s v="Eligible"/>
  </r>
  <r>
    <x v="57"/>
    <x v="1"/>
    <x v="2"/>
    <x v="24"/>
    <x v="1"/>
    <n v="69"/>
    <n v="74"/>
    <n v="86"/>
    <x v="0"/>
    <x v="1"/>
    <n v="71.5"/>
    <x v="0"/>
    <s v="Eligible"/>
  </r>
  <r>
    <x v="58"/>
    <x v="0"/>
    <x v="1"/>
    <x v="23"/>
    <x v="2"/>
    <n v="53"/>
    <n v="58"/>
    <n v="74"/>
    <x v="1"/>
    <x v="2"/>
    <n v="55.5"/>
    <x v="1"/>
    <s v="Not Eligible"/>
  </r>
  <r>
    <x v="59"/>
    <x v="1"/>
    <x v="0"/>
    <x v="9"/>
    <x v="3"/>
    <n v="86"/>
    <n v="90"/>
    <n v="94"/>
    <x v="0"/>
    <x v="8"/>
    <n v="88"/>
    <x v="2"/>
    <s v="Eligible"/>
  </r>
  <r>
    <x v="60"/>
    <x v="0"/>
    <x v="5"/>
    <x v="20"/>
    <x v="0"/>
    <n v="77"/>
    <n v="81"/>
    <n v="89"/>
    <x v="0"/>
    <x v="11"/>
    <n v="79"/>
    <x v="0"/>
    <s v="Eligible"/>
  </r>
  <r>
    <x v="61"/>
    <x v="1"/>
    <x v="4"/>
    <x v="4"/>
    <x v="1"/>
    <n v="62"/>
    <n v="67"/>
    <n v="80"/>
    <x v="1"/>
    <x v="2"/>
    <n v="64.5"/>
    <x v="1"/>
    <s v="Not Eligible"/>
  </r>
  <r>
    <x v="62"/>
    <x v="0"/>
    <x v="0"/>
    <x v="21"/>
    <x v="4"/>
    <n v="93"/>
    <n v="96"/>
    <n v="98"/>
    <x v="0"/>
    <x v="9"/>
    <n v="94.5"/>
    <x v="2"/>
    <s v="Eligible"/>
  </r>
  <r>
    <x v="63"/>
    <x v="1"/>
    <x v="1"/>
    <x v="13"/>
    <x v="0"/>
    <n v="78"/>
    <n v="83"/>
    <n v="91"/>
    <x v="0"/>
    <x v="11"/>
    <n v="80.5"/>
    <x v="0"/>
    <s v="Eligible"/>
  </r>
  <r>
    <x v="64"/>
    <x v="0"/>
    <x v="3"/>
    <x v="18"/>
    <x v="2"/>
    <n v="56"/>
    <n v="61"/>
    <n v="77"/>
    <x v="1"/>
    <x v="2"/>
    <n v="58.5"/>
    <x v="1"/>
    <s v="Not Eligible"/>
  </r>
  <r>
    <x v="65"/>
    <x v="1"/>
    <x v="5"/>
    <x v="0"/>
    <x v="3"/>
    <n v="83"/>
    <n v="87"/>
    <n v="92"/>
    <x v="0"/>
    <x v="6"/>
    <n v="85"/>
    <x v="0"/>
    <s v="Eligible"/>
  </r>
  <r>
    <x v="66"/>
    <x v="0"/>
    <x v="0"/>
    <x v="6"/>
    <x v="4"/>
    <n v="94"/>
    <n v="98"/>
    <n v="99"/>
    <x v="0"/>
    <x v="14"/>
    <n v="96"/>
    <x v="2"/>
    <s v="Eligible"/>
  </r>
  <r>
    <x v="67"/>
    <x v="1"/>
    <x v="2"/>
    <x v="17"/>
    <x v="1"/>
    <n v="68"/>
    <n v="73"/>
    <n v="85"/>
    <x v="0"/>
    <x v="1"/>
    <n v="70.5"/>
    <x v="0"/>
    <s v="Eligible"/>
  </r>
  <r>
    <x v="68"/>
    <x v="0"/>
    <x v="1"/>
    <x v="2"/>
    <x v="2"/>
    <n v="54"/>
    <n v="59"/>
    <n v="76"/>
    <x v="1"/>
    <x v="2"/>
    <n v="56.5"/>
    <x v="1"/>
    <s v="Not Eligible"/>
  </r>
  <r>
    <x v="69"/>
    <x v="1"/>
    <x v="0"/>
    <x v="19"/>
    <x v="3"/>
    <n v="89"/>
    <n v="92"/>
    <n v="96"/>
    <x v="0"/>
    <x v="7"/>
    <n v="90.5"/>
    <x v="2"/>
    <s v="Eligible"/>
  </r>
  <r>
    <x v="70"/>
    <x v="0"/>
    <x v="5"/>
    <x v="13"/>
    <x v="0"/>
    <n v="79"/>
    <n v="83"/>
    <n v="90"/>
    <x v="0"/>
    <x v="11"/>
    <n v="81"/>
    <x v="0"/>
    <s v="Eligible"/>
  </r>
  <r>
    <x v="71"/>
    <x v="1"/>
    <x v="4"/>
    <x v="14"/>
    <x v="1"/>
    <n v="63"/>
    <n v="69"/>
    <n v="81"/>
    <x v="1"/>
    <x v="2"/>
    <n v="66"/>
    <x v="1"/>
    <s v="Eligible"/>
  </r>
  <r>
    <x v="72"/>
    <x v="0"/>
    <x v="0"/>
    <x v="11"/>
    <x v="4"/>
    <n v="91"/>
    <n v="95"/>
    <n v="98"/>
    <x v="0"/>
    <x v="5"/>
    <n v="93"/>
    <x v="2"/>
    <s v="Eligible"/>
  </r>
  <r>
    <x v="73"/>
    <x v="1"/>
    <x v="1"/>
    <x v="5"/>
    <x v="0"/>
    <n v="75"/>
    <n v="81"/>
    <n v="89"/>
    <x v="0"/>
    <x v="0"/>
    <n v="78"/>
    <x v="0"/>
    <s v="Eligible"/>
  </r>
  <r>
    <x v="74"/>
    <x v="0"/>
    <x v="3"/>
    <x v="12"/>
    <x v="2"/>
    <n v="57"/>
    <n v="62"/>
    <n v="78"/>
    <x v="1"/>
    <x v="2"/>
    <n v="59.5"/>
    <x v="1"/>
    <s v="Not Eligible"/>
  </r>
  <r>
    <x v="75"/>
    <x v="1"/>
    <x v="5"/>
    <x v="26"/>
    <x v="3"/>
    <n v="82"/>
    <n v="86"/>
    <n v="92"/>
    <x v="0"/>
    <x v="12"/>
    <n v="84"/>
    <x v="0"/>
    <s v="Eligible"/>
  </r>
  <r>
    <x v="76"/>
    <x v="0"/>
    <x v="0"/>
    <x v="28"/>
    <x v="4"/>
    <n v="97"/>
    <n v="99"/>
    <n v="100"/>
    <x v="0"/>
    <x v="16"/>
    <n v="98"/>
    <x v="2"/>
    <s v="Eligible"/>
  </r>
  <r>
    <x v="77"/>
    <x v="1"/>
    <x v="2"/>
    <x v="29"/>
    <x v="1"/>
    <n v="70"/>
    <n v="75"/>
    <n v="87"/>
    <x v="0"/>
    <x v="4"/>
    <n v="72.5"/>
    <x v="0"/>
    <s v="Eligible"/>
  </r>
  <r>
    <x v="78"/>
    <x v="0"/>
    <x v="1"/>
    <x v="7"/>
    <x v="2"/>
    <n v="52"/>
    <n v="57"/>
    <n v="74"/>
    <x v="1"/>
    <x v="2"/>
    <n v="54.5"/>
    <x v="1"/>
    <s v="Not Eligible"/>
  </r>
  <r>
    <x v="79"/>
    <x v="1"/>
    <x v="0"/>
    <x v="15"/>
    <x v="3"/>
    <n v="88"/>
    <n v="91"/>
    <n v="95"/>
    <x v="0"/>
    <x v="3"/>
    <n v="89.5"/>
    <x v="2"/>
    <s v="Eligib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r>
  <r>
    <x v="1"/>
    <x v="0"/>
  </r>
  <r>
    <x v="2"/>
    <x v="1"/>
  </r>
  <r>
    <x v="0"/>
    <x v="0"/>
  </r>
  <r>
    <x v="3"/>
    <x v="1"/>
  </r>
  <r>
    <x v="4"/>
    <x v="0"/>
  </r>
  <r>
    <x v="0"/>
    <x v="0"/>
  </r>
  <r>
    <x v="1"/>
    <x v="1"/>
  </r>
  <r>
    <x v="2"/>
    <x v="0"/>
  </r>
  <r>
    <x v="0"/>
    <x v="0"/>
  </r>
  <r>
    <x v="5"/>
    <x v="0"/>
  </r>
  <r>
    <x v="0"/>
    <x v="0"/>
  </r>
  <r>
    <x v="3"/>
    <x v="1"/>
  </r>
  <r>
    <x v="1"/>
    <x v="0"/>
  </r>
  <r>
    <x v="4"/>
    <x v="1"/>
  </r>
  <r>
    <x v="5"/>
    <x v="0"/>
  </r>
  <r>
    <x v="0"/>
    <x v="0"/>
  </r>
  <r>
    <x v="2"/>
    <x v="0"/>
  </r>
  <r>
    <x v="1"/>
    <x v="1"/>
  </r>
  <r>
    <x v="0"/>
    <x v="0"/>
  </r>
  <r>
    <x v="5"/>
    <x v="0"/>
  </r>
  <r>
    <x v="3"/>
    <x v="1"/>
  </r>
  <r>
    <x v="0"/>
    <x v="0"/>
  </r>
  <r>
    <x v="1"/>
    <x v="0"/>
  </r>
  <r>
    <x v="4"/>
    <x v="1"/>
  </r>
  <r>
    <x v="5"/>
    <x v="0"/>
  </r>
  <r>
    <x v="2"/>
    <x v="0"/>
  </r>
  <r>
    <x v="0"/>
    <x v="0"/>
  </r>
  <r>
    <x v="1"/>
    <x v="1"/>
  </r>
  <r>
    <x v="4"/>
    <x v="0"/>
  </r>
  <r>
    <x v="0"/>
    <x v="0"/>
  </r>
  <r>
    <x v="5"/>
    <x v="0"/>
  </r>
  <r>
    <x v="3"/>
    <x v="0"/>
  </r>
  <r>
    <x v="1"/>
    <x v="0"/>
  </r>
  <r>
    <x v="4"/>
    <x v="1"/>
  </r>
  <r>
    <x v="0"/>
    <x v="0"/>
  </r>
  <r>
    <x v="5"/>
    <x v="0"/>
  </r>
  <r>
    <x v="2"/>
    <x v="0"/>
  </r>
  <r>
    <x v="1"/>
    <x v="1"/>
  </r>
  <r>
    <x v="0"/>
    <x v="0"/>
  </r>
  <r>
    <x v="4"/>
    <x v="0"/>
  </r>
  <r>
    <x v="5"/>
    <x v="0"/>
  </r>
  <r>
    <x v="0"/>
    <x v="0"/>
  </r>
  <r>
    <x v="1"/>
    <x v="0"/>
  </r>
  <r>
    <x v="3"/>
    <x v="1"/>
  </r>
  <r>
    <x v="0"/>
    <x v="0"/>
  </r>
  <r>
    <x v="5"/>
    <x v="0"/>
  </r>
  <r>
    <x v="2"/>
    <x v="1"/>
  </r>
  <r>
    <x v="1"/>
    <x v="1"/>
  </r>
  <r>
    <x v="0"/>
    <x v="0"/>
  </r>
  <r>
    <x v="5"/>
    <x v="0"/>
  </r>
  <r>
    <x v="4"/>
    <x v="0"/>
  </r>
  <r>
    <x v="0"/>
    <x v="0"/>
  </r>
  <r>
    <x v="1"/>
    <x v="0"/>
  </r>
  <r>
    <x v="3"/>
    <x v="1"/>
  </r>
  <r>
    <x v="5"/>
    <x v="0"/>
  </r>
  <r>
    <x v="0"/>
    <x v="0"/>
  </r>
  <r>
    <x v="2"/>
    <x v="0"/>
  </r>
  <r>
    <x v="1"/>
    <x v="1"/>
  </r>
  <r>
    <x v="0"/>
    <x v="0"/>
  </r>
  <r>
    <x v="5"/>
    <x v="0"/>
  </r>
  <r>
    <x v="4"/>
    <x v="1"/>
  </r>
  <r>
    <x v="0"/>
    <x v="0"/>
  </r>
  <r>
    <x v="1"/>
    <x v="0"/>
  </r>
  <r>
    <x v="3"/>
    <x v="1"/>
  </r>
  <r>
    <x v="5"/>
    <x v="0"/>
  </r>
  <r>
    <x v="0"/>
    <x v="0"/>
  </r>
  <r>
    <x v="2"/>
    <x v="0"/>
  </r>
  <r>
    <x v="1"/>
    <x v="1"/>
  </r>
  <r>
    <x v="0"/>
    <x v="0"/>
  </r>
  <r>
    <x v="5"/>
    <x v="0"/>
  </r>
  <r>
    <x v="4"/>
    <x v="1"/>
  </r>
  <r>
    <x v="0"/>
    <x v="0"/>
  </r>
  <r>
    <x v="1"/>
    <x v="0"/>
  </r>
  <r>
    <x v="3"/>
    <x v="1"/>
  </r>
  <r>
    <x v="5"/>
    <x v="0"/>
  </r>
  <r>
    <x v="0"/>
    <x v="0"/>
  </r>
  <r>
    <x v="2"/>
    <x v="0"/>
  </r>
  <r>
    <x v="1"/>
    <x v="1"/>
  </r>
  <r>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21F048-43CF-4A43-84BC-C67629AE549C}" name="PivotTable20"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D112:F122" firstHeaderRow="1" firstDataRow="1" firstDataCol="2"/>
  <pivotFields count="2">
    <pivotField axis="axisRow" compact="0" outline="0" showAll="0" defaultSubtotal="0">
      <items count="6">
        <item x="4"/>
        <item x="0"/>
        <item x="1"/>
        <item x="2"/>
        <item x="5"/>
        <item x="3"/>
      </items>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s>
  <rowFields count="2">
    <field x="1"/>
    <field x="0"/>
  </rowFields>
  <rowItems count="10">
    <i>
      <x/>
      <x/>
    </i>
    <i r="1">
      <x v="2"/>
    </i>
    <i r="1">
      <x v="3"/>
    </i>
    <i r="1">
      <x v="5"/>
    </i>
    <i>
      <x v="1"/>
      <x/>
    </i>
    <i r="1">
      <x v="1"/>
    </i>
    <i r="1">
      <x v="2"/>
    </i>
    <i r="1">
      <x v="3"/>
    </i>
    <i r="1">
      <x v="4"/>
    </i>
    <i r="1">
      <x v="5"/>
    </i>
  </rowItems>
  <colItems count="1">
    <i/>
  </colItems>
  <dataFields count="1">
    <dataField name="Count of Placement_Statu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3AC36D-0C68-4625-8079-75E76FB70171}"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8:L97" firstHeaderRow="1" firstDataRow="1" firstDataCol="1"/>
  <pivotFields count="13">
    <pivotField dataField="1"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axis="axisRow" showAll="0">
      <items count="3">
        <item x="0"/>
        <item x="1"/>
        <item t="default"/>
      </items>
    </pivotField>
    <pivotField showAll="0">
      <items count="7">
        <item x="4"/>
        <item x="0"/>
        <item x="1"/>
        <item x="2"/>
        <item x="5"/>
        <item x="3"/>
        <item t="default"/>
      </items>
    </pivotField>
    <pivotField numFmtId="2" showAll="0">
      <items count="31">
        <item x="7"/>
        <item x="23"/>
        <item x="18"/>
        <item x="2"/>
        <item x="12"/>
        <item x="4"/>
        <item x="14"/>
        <item x="1"/>
        <item x="27"/>
        <item x="17"/>
        <item x="24"/>
        <item x="29"/>
        <item x="8"/>
        <item x="10"/>
        <item x="5"/>
        <item x="20"/>
        <item x="13"/>
        <item x="22"/>
        <item x="26"/>
        <item x="0"/>
        <item x="25"/>
        <item x="9"/>
        <item x="15"/>
        <item x="19"/>
        <item x="11"/>
        <item x="3"/>
        <item x="21"/>
        <item x="6"/>
        <item x="16"/>
        <item x="28"/>
        <item t="default"/>
      </items>
    </pivotField>
    <pivotField showAll="0">
      <items count="6">
        <item x="2"/>
        <item x="1"/>
        <item x="0"/>
        <item x="3"/>
        <item x="4"/>
        <item t="default"/>
      </items>
    </pivotField>
    <pivotField showAll="0"/>
    <pivotField showAll="0"/>
    <pivotField showAll="0"/>
    <pivotField showAll="0">
      <items count="3">
        <item x="1"/>
        <item x="0"/>
        <item t="default"/>
      </items>
    </pivotField>
    <pivotField showAll="0">
      <items count="18">
        <item x="2"/>
        <item x="13"/>
        <item x="1"/>
        <item x="4"/>
        <item x="0"/>
        <item x="11"/>
        <item x="12"/>
        <item x="6"/>
        <item x="8"/>
        <item x="3"/>
        <item x="7"/>
        <item x="10"/>
        <item x="5"/>
        <item x="9"/>
        <item x="15"/>
        <item x="14"/>
        <item x="16"/>
        <item t="default"/>
      </items>
    </pivotField>
    <pivotField showAll="0"/>
    <pivotField axis="axisRow" showAll="0">
      <items count="4">
        <item x="1"/>
        <item x="2"/>
        <item x="0"/>
        <item t="default"/>
      </items>
    </pivotField>
    <pivotField showAll="0"/>
  </pivotFields>
  <rowFields count="2">
    <field x="1"/>
    <field x="11"/>
  </rowFields>
  <rowItems count="9">
    <i>
      <x/>
    </i>
    <i r="1">
      <x/>
    </i>
    <i r="1">
      <x v="1"/>
    </i>
    <i r="1">
      <x v="2"/>
    </i>
    <i>
      <x v="1"/>
    </i>
    <i r="1">
      <x/>
    </i>
    <i r="1">
      <x v="1"/>
    </i>
    <i r="1">
      <x v="2"/>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4237DB-B0CE-4057-9713-B7A53E235CDA}"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102:N105" firstHeaderRow="1" firstDataRow="1" firstDataCol="1"/>
  <pivotFields count="13">
    <pivotField dataField="1"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3">
        <item x="0"/>
        <item x="1"/>
        <item t="default"/>
      </items>
    </pivotField>
    <pivotField showAll="0">
      <items count="7">
        <item x="4"/>
        <item x="0"/>
        <item x="1"/>
        <item x="2"/>
        <item x="5"/>
        <item x="3"/>
        <item t="default"/>
      </items>
    </pivotField>
    <pivotField numFmtId="2" showAll="0"/>
    <pivotField showAll="0">
      <items count="6">
        <item x="2"/>
        <item x="1"/>
        <item x="0"/>
        <item x="3"/>
        <item x="4"/>
        <item t="default"/>
      </items>
    </pivotField>
    <pivotField showAll="0"/>
    <pivotField showAll="0"/>
    <pivotField showAll="0"/>
    <pivotField axis="axisRow" showAll="0">
      <items count="3">
        <item x="1"/>
        <item x="0"/>
        <item t="default"/>
      </items>
    </pivotField>
    <pivotField showAll="0">
      <items count="18">
        <item x="2"/>
        <item x="13"/>
        <item x="1"/>
        <item x="4"/>
        <item x="0"/>
        <item x="11"/>
        <item x="12"/>
        <item x="6"/>
        <item x="8"/>
        <item x="3"/>
        <item x="7"/>
        <item x="10"/>
        <item x="5"/>
        <item x="9"/>
        <item x="15"/>
        <item x="14"/>
        <item x="16"/>
        <item t="default"/>
      </items>
    </pivotField>
    <pivotField showAll="0"/>
    <pivotField showAll="0"/>
    <pivotField showAll="0"/>
  </pivotFields>
  <rowFields count="1">
    <field x="8"/>
  </rowFields>
  <rowItems count="3">
    <i>
      <x/>
    </i>
    <i>
      <x v="1"/>
    </i>
    <i t="grand">
      <x/>
    </i>
  </rowItems>
  <colItems count="1">
    <i/>
  </colItems>
  <dataFields count="1">
    <dataField name="Count of Student_ID" fld="0"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8" count="1" selected="0">
            <x v="0"/>
          </reference>
        </references>
      </pivotArea>
    </chartFormat>
    <chartFormat chart="11"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1B50BD-050F-43AF-922F-F40036A4714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88:E105" firstHeaderRow="1" firstDataRow="1" firstDataCol="1"/>
  <pivotFields count="13">
    <pivotField dataField="1" showAll="0"/>
    <pivotField showAll="0">
      <items count="3">
        <item x="0"/>
        <item x="1"/>
        <item t="default"/>
      </items>
    </pivotField>
    <pivotField axis="axisRow" showAll="0">
      <items count="7">
        <item x="4"/>
        <item x="0"/>
        <item x="1"/>
        <item x="2"/>
        <item x="5"/>
        <item x="3"/>
        <item t="default"/>
      </items>
    </pivotField>
    <pivotField numFmtId="2" showAll="0"/>
    <pivotField showAll="0">
      <items count="6">
        <item x="2"/>
        <item x="1"/>
        <item x="0"/>
        <item x="3"/>
        <item x="4"/>
        <item t="default"/>
      </items>
    </pivotField>
    <pivotField showAll="0"/>
    <pivotField showAll="0"/>
    <pivotField showAll="0"/>
    <pivotField axis="axisRow" showAll="0">
      <items count="3">
        <item x="1"/>
        <item x="0"/>
        <item t="default"/>
      </items>
    </pivotField>
    <pivotField showAll="0">
      <items count="18">
        <item x="2"/>
        <item x="13"/>
        <item x="1"/>
        <item x="4"/>
        <item x="0"/>
        <item x="11"/>
        <item x="12"/>
        <item x="6"/>
        <item x="8"/>
        <item x="3"/>
        <item x="7"/>
        <item x="10"/>
        <item x="5"/>
        <item x="9"/>
        <item x="15"/>
        <item x="14"/>
        <item x="16"/>
        <item t="default"/>
      </items>
    </pivotField>
    <pivotField showAll="0"/>
    <pivotField showAll="0"/>
    <pivotField showAll="0"/>
  </pivotFields>
  <rowFields count="2">
    <field x="2"/>
    <field x="8"/>
  </rowFields>
  <rowItems count="17">
    <i>
      <x/>
    </i>
    <i r="1">
      <x/>
    </i>
    <i r="1">
      <x v="1"/>
    </i>
    <i>
      <x v="1"/>
    </i>
    <i r="1">
      <x v="1"/>
    </i>
    <i>
      <x v="2"/>
    </i>
    <i r="1">
      <x/>
    </i>
    <i r="1">
      <x v="1"/>
    </i>
    <i>
      <x v="3"/>
    </i>
    <i r="1">
      <x/>
    </i>
    <i r="1">
      <x v="1"/>
    </i>
    <i>
      <x v="4"/>
    </i>
    <i r="1">
      <x v="1"/>
    </i>
    <i>
      <x v="5"/>
    </i>
    <i r="1">
      <x/>
    </i>
    <i r="1">
      <x v="1"/>
    </i>
    <i t="grand">
      <x/>
    </i>
  </rowItems>
  <colItems count="1">
    <i/>
  </colItems>
  <dataFields count="1">
    <dataField name="Count of Student_ID" fld="0" subtotal="count" baseField="0" baseItem="0"/>
  </dataFields>
  <chartFormats count="2">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C3041F-BEF3-4313-AF13-894A7B853684}"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90:I97" firstHeaderRow="1" firstDataRow="1" firstDataCol="1" rowPageCount="1" colPageCount="1"/>
  <pivotFields count="13">
    <pivotField showAll="0"/>
    <pivotField showAll="0">
      <items count="3">
        <item x="0"/>
        <item x="1"/>
        <item t="default"/>
      </items>
    </pivotField>
    <pivotField axis="axisRow" showAll="0">
      <items count="7">
        <item x="4"/>
        <item x="0"/>
        <item x="1"/>
        <item x="2"/>
        <item x="5"/>
        <item x="3"/>
        <item t="default"/>
      </items>
    </pivotField>
    <pivotField numFmtId="2" showAll="0"/>
    <pivotField showAll="0">
      <items count="6">
        <item x="2"/>
        <item x="1"/>
        <item x="0"/>
        <item x="3"/>
        <item x="4"/>
        <item t="default"/>
      </items>
    </pivotField>
    <pivotField showAll="0"/>
    <pivotField showAll="0"/>
    <pivotField showAll="0"/>
    <pivotField axis="axisPage" showAll="0">
      <items count="3">
        <item x="1"/>
        <item x="0"/>
        <item t="default"/>
      </items>
    </pivotField>
    <pivotField dataField="1" showAll="0">
      <items count="18">
        <item x="2"/>
        <item x="13"/>
        <item x="1"/>
        <item x="4"/>
        <item x="0"/>
        <item x="11"/>
        <item x="12"/>
        <item x="6"/>
        <item x="8"/>
        <item x="3"/>
        <item x="7"/>
        <item x="10"/>
        <item x="5"/>
        <item x="9"/>
        <item x="15"/>
        <item x="14"/>
        <item x="16"/>
        <item t="default"/>
      </items>
    </pivotField>
    <pivotField showAll="0"/>
    <pivotField showAll="0"/>
    <pivotField showAll="0"/>
  </pivotFields>
  <rowFields count="1">
    <field x="2"/>
  </rowFields>
  <rowItems count="7">
    <i>
      <x/>
    </i>
    <i>
      <x v="1"/>
    </i>
    <i>
      <x v="2"/>
    </i>
    <i>
      <x v="3"/>
    </i>
    <i>
      <x v="4"/>
    </i>
    <i>
      <x v="5"/>
    </i>
    <i t="grand">
      <x/>
    </i>
  </rowItems>
  <colItems count="1">
    <i/>
  </colItems>
  <pageFields count="1">
    <pageField fld="8" hier="-1"/>
  </pageFields>
  <dataFields count="1">
    <dataField name="Average of Salary_LPA" fld="9" subtotal="average" baseField="2"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CB7294-2051-4FCD-B3DB-D16E0D6A7D7E}"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2:K109" firstHeaderRow="1" firstDataRow="2" firstDataCol="1"/>
  <pivotFields count="13">
    <pivotField dataField="1" showAll="0"/>
    <pivotField showAll="0">
      <items count="3">
        <item x="0"/>
        <item x="1"/>
        <item t="default"/>
      </items>
    </pivotField>
    <pivotField showAll="0">
      <items count="7">
        <item x="4"/>
        <item x="0"/>
        <item x="1"/>
        <item x="2"/>
        <item x="5"/>
        <item x="3"/>
        <item t="default"/>
      </items>
    </pivotField>
    <pivotField numFmtId="2" showAll="0"/>
    <pivotField axis="axisRow" showAll="0">
      <items count="6">
        <item x="2"/>
        <item x="1"/>
        <item x="0"/>
        <item x="3"/>
        <item x="4"/>
        <item t="default"/>
      </items>
    </pivotField>
    <pivotField showAll="0"/>
    <pivotField showAll="0"/>
    <pivotField showAll="0"/>
    <pivotField axis="axisCol" showAll="0">
      <items count="3">
        <item x="1"/>
        <item x="0"/>
        <item t="default"/>
      </items>
    </pivotField>
    <pivotField showAll="0">
      <items count="18">
        <item x="2"/>
        <item x="13"/>
        <item x="1"/>
        <item x="4"/>
        <item x="0"/>
        <item x="11"/>
        <item x="12"/>
        <item x="6"/>
        <item x="8"/>
        <item x="3"/>
        <item x="7"/>
        <item x="10"/>
        <item x="5"/>
        <item x="9"/>
        <item x="15"/>
        <item x="14"/>
        <item x="16"/>
        <item t="default"/>
      </items>
    </pivotField>
    <pivotField showAll="0"/>
    <pivotField showAll="0"/>
    <pivotField showAll="0"/>
  </pivotFields>
  <rowFields count="1">
    <field x="4"/>
  </rowFields>
  <rowItems count="6">
    <i>
      <x/>
    </i>
    <i>
      <x v="1"/>
    </i>
    <i>
      <x v="2"/>
    </i>
    <i>
      <x v="3"/>
    </i>
    <i>
      <x v="4"/>
    </i>
    <i t="grand">
      <x/>
    </i>
  </rowItems>
  <colFields count="1">
    <field x="8"/>
  </colFields>
  <colItems count="3">
    <i>
      <x/>
    </i>
    <i>
      <x v="1"/>
    </i>
    <i t="grand">
      <x/>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8E2216-77FE-47A4-910E-D7FC32E2B3B5}" autoFormatId="16" applyNumberFormats="0" applyBorderFormats="0" applyFontFormats="0" applyPatternFormats="0" applyAlignmentFormats="0" applyWidthHeightFormats="0">
  <queryTableRefresh nextId="14" unboundColumnsRight="3">
    <queryTableFields count="13">
      <queryTableField id="1" name="Student_ID" tableColumnId="1"/>
      <queryTableField id="2" name="Gender" tableColumnId="2"/>
      <queryTableField id="3" name="Department" tableColumnId="3"/>
      <queryTableField id="4" name="CGPA" tableColumnId="4"/>
      <queryTableField id="5" name="Internships" tableColumnId="5"/>
      <queryTableField id="6" name="Aptitude_Score" tableColumnId="6"/>
      <queryTableField id="7" name="Communication_Score" tableColumnId="7"/>
      <queryTableField id="8" name="Attendance" tableColumnId="8"/>
      <queryTableField id="9" name="Placement_Status" tableColumnId="9"/>
      <queryTableField id="10" name="Salary_LPA" tableColumnId="10"/>
      <queryTableField id="11" dataBound="0" tableColumnId="12"/>
      <queryTableField id="12" dataBound="0" tableColumnId="13"/>
      <queryTableField id="13"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ECC009-0E62-4552-A5DE-78E8B778E2F5}" sourceName="Gender">
  <pivotTables>
    <pivotTable tabId="2" name="PivotTable2"/>
    <pivotTable tabId="2" name="PivotTable3"/>
    <pivotTable tabId="2" name="PivotTable4"/>
    <pivotTable tabId="2" name="PivotTable5"/>
    <pivotTable tabId="2" name="PivotTable6"/>
  </pivotTables>
  <data>
    <tabular pivotCacheId="18913403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7C55C05-9A6C-4272-8670-F2238BC98476}" sourceName="Department">
  <pivotTables>
    <pivotTable tabId="2" name="PivotTable2"/>
    <pivotTable tabId="2" name="PivotTable3"/>
    <pivotTable tabId="2" name="PivotTable4"/>
    <pivotTable tabId="2" name="PivotTable5"/>
    <pivotTable tabId="2" name="PivotTable6"/>
  </pivotTables>
  <data>
    <tabular pivotCacheId="1891340385">
      <items count="6">
        <i x="4" s="1"/>
        <i x="0" s="1"/>
        <i x="1" s="1"/>
        <i x="2"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EA992272-BC22-4537-A57F-2C34451EF621}" sourceName="Placement_Status">
  <pivotTables>
    <pivotTable tabId="2" name="PivotTable2"/>
    <pivotTable tabId="2" name="PivotTable3"/>
    <pivotTable tabId="2" name="PivotTable4"/>
    <pivotTable tabId="2" name="PivotTable5"/>
    <pivotTable tabId="2" name="PivotTable6"/>
  </pivotTables>
  <data>
    <tabular pivotCacheId="18913403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6B4FD28-02AE-4E11-8472-4CD469B274C1}" cache="Slicer_Gender" caption="Gender" rowHeight="241300"/>
  <slicer name="Department 1" xr10:uid="{CB3A7A16-FA96-4831-B886-443E613A4B6C}" cache="Slicer_Department" caption="Department" rowHeight="241300"/>
  <slicer name="Placement_Status 1" xr10:uid="{61014F51-F4D3-4E3E-BE95-95D9397A58C3}" cache="Slicer_Placement_Status" caption="Placement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28E424-0E6B-4B05-8FFB-E7986836123C}" name="placement_data" displayName="placement_data" ref="A1:M81" tableType="queryTable" totalsRowShown="0">
  <autoFilter ref="A1:M81" xr:uid="{DF28E424-0E6B-4B05-8FFB-E7986836123C}"/>
  <tableColumns count="13">
    <tableColumn id="1" xr3:uid="{220DFF1D-0666-4C3A-84AA-EF0D16FFFEFD}" uniqueName="1" name="Student_ID" queryTableFieldId="1" dataDxfId="8"/>
    <tableColumn id="2" xr3:uid="{FB838090-54FA-44B9-AAD2-23ED79799471}" uniqueName="2" name="Gender" queryTableFieldId="2" dataDxfId="7"/>
    <tableColumn id="3" xr3:uid="{4216E2F4-3064-4659-BC94-109D06D4C0BB}" uniqueName="3" name="Department" queryTableFieldId="3" dataDxfId="6"/>
    <tableColumn id="4" xr3:uid="{686271E4-941F-4F9B-920F-7B6F8B66D7C7}" uniqueName="4" name="CGPA" queryTableFieldId="4" dataDxfId="5"/>
    <tableColumn id="5" xr3:uid="{757690A1-5CF2-4C1B-8570-A7A8CA497E2F}" uniqueName="5" name="Internships" queryTableFieldId="5"/>
    <tableColumn id="6" xr3:uid="{7BA82601-807B-49D1-BA1D-C9653106F9B5}" uniqueName="6" name="Aptitude_Score" queryTableFieldId="6"/>
    <tableColumn id="7" xr3:uid="{54A88D44-1D12-4E37-8C5D-985E38847096}" uniqueName="7" name="Communication_Score" queryTableFieldId="7"/>
    <tableColumn id="8" xr3:uid="{4500A2B0-2134-4A63-9074-E1A680A63063}" uniqueName="8" name="Attendance" queryTableFieldId="8" dataDxfId="4" dataCellStyle="Percent"/>
    <tableColumn id="9" xr3:uid="{23D7CE8D-B1D4-47A7-912D-9F008D12D30F}" uniqueName="9" name="Placement_Status" queryTableFieldId="9" dataDxfId="3"/>
    <tableColumn id="10" xr3:uid="{11F1B0A7-B52E-4412-9E41-31DE49349DCF}" uniqueName="10" name="Salary_LPA" queryTableFieldId="10"/>
    <tableColumn id="12" xr3:uid="{6601BC5D-17C8-42E5-BB9C-728C3A5274ED}" uniqueName="12" name="Average Score" queryTableFieldId="11" dataDxfId="2">
      <calculatedColumnFormula>(placement_data[[#This Row],[Aptitude_Score]]+placement_data[[#This Row],[Communication_Score]])/2</calculatedColumnFormula>
    </tableColumn>
    <tableColumn id="13" xr3:uid="{DA1B2F21-C06B-405D-96D5-413A88A658BD}" uniqueName="13" name="Performance" queryTableFieldId="12" dataDxfId="1">
      <calculatedColumnFormula>IF(placement_data[[#This Row],[Average Score]]&gt;85,"Excellent",IF(placement_data[[#This Row],[Average Score]]&gt;=70,"Good","Average"))</calculatedColumnFormula>
    </tableColumn>
    <tableColumn id="15" xr3:uid="{BA3EB846-94CE-4C7A-A708-A71242D472BB}" uniqueName="15" name="Eligibility" queryTableFieldId="13" dataDxfId="0">
      <calculatedColumnFormula>IF(AND(placement_data[[#This Row],[CGPA]]&gt;7,placement_data[[#This Row],[Aptitude_Score]]&gt;55),"Eligible","Not Eligible")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F1AD-A733-459C-AD37-925903577B01}">
  <dimension ref="A1:N122"/>
  <sheetViews>
    <sheetView topLeftCell="C96" zoomScale="91" workbookViewId="0">
      <selection activeCell="K118" sqref="K118"/>
    </sheetView>
  </sheetViews>
  <sheetFormatPr defaultRowHeight="14.5" x14ac:dyDescent="0.35"/>
  <cols>
    <col min="1" max="1" width="13.453125" bestFit="1" customWidth="1"/>
    <col min="2" max="2" width="18.1796875" bestFit="1" customWidth="1"/>
    <col min="3" max="3" width="13.36328125" bestFit="1" customWidth="1"/>
    <col min="4" max="4" width="14.7265625" bestFit="1" customWidth="1"/>
    <col min="5" max="5" width="18.90625" bestFit="1" customWidth="1"/>
    <col min="6" max="6" width="8.1796875" customWidth="1"/>
    <col min="7" max="7" width="6.26953125" bestFit="1" customWidth="1"/>
    <col min="8" max="8" width="18.90625" bestFit="1" customWidth="1"/>
    <col min="9" max="9" width="17.6328125" bestFit="1" customWidth="1"/>
    <col min="10" max="10" width="6.6328125" bestFit="1" customWidth="1"/>
    <col min="11" max="11" width="11.08984375" bestFit="1" customWidth="1"/>
    <col min="12" max="12" width="9.54296875" customWidth="1"/>
    <col min="13" max="13" width="14.81640625" customWidth="1"/>
    <col min="14" max="14" width="14.7265625" bestFit="1" customWidth="1"/>
    <col min="15" max="15" width="18.90625" bestFit="1" customWidth="1"/>
    <col min="16" max="16" width="14.7265625" bestFit="1" customWidth="1"/>
    <col min="17" max="17" width="19.453125" bestFit="1" customWidth="1"/>
  </cols>
  <sheetData>
    <row r="1" spans="1:13" x14ac:dyDescent="0.35">
      <c r="A1" t="s">
        <v>0</v>
      </c>
      <c r="B1" t="s">
        <v>1</v>
      </c>
      <c r="C1" t="s">
        <v>2</v>
      </c>
      <c r="D1" t="s">
        <v>3</v>
      </c>
      <c r="E1" t="s">
        <v>4</v>
      </c>
      <c r="F1" t="s">
        <v>5</v>
      </c>
      <c r="G1" t="s">
        <v>6</v>
      </c>
      <c r="H1" t="s">
        <v>7</v>
      </c>
      <c r="I1" t="s">
        <v>8</v>
      </c>
      <c r="J1" t="s">
        <v>9</v>
      </c>
      <c r="K1" t="s">
        <v>100</v>
      </c>
      <c r="L1" t="s">
        <v>101</v>
      </c>
      <c r="M1" t="s">
        <v>102</v>
      </c>
    </row>
    <row r="2" spans="1:13" x14ac:dyDescent="0.35">
      <c r="A2" t="s">
        <v>10</v>
      </c>
      <c r="B2" t="s">
        <v>11</v>
      </c>
      <c r="C2" t="s">
        <v>12</v>
      </c>
      <c r="D2" s="1">
        <v>8.5</v>
      </c>
      <c r="E2">
        <v>2</v>
      </c>
      <c r="F2">
        <v>78</v>
      </c>
      <c r="G2">
        <v>82</v>
      </c>
      <c r="H2" s="2">
        <v>90</v>
      </c>
      <c r="I2" t="s">
        <v>13</v>
      </c>
      <c r="J2">
        <v>7</v>
      </c>
      <c r="K2">
        <f>(placement_data[[#This Row],[Aptitude_Score]]+placement_data[[#This Row],[Communication_Score]])/2</f>
        <v>80</v>
      </c>
      <c r="L2" t="str">
        <f>IF(placement_data[[#This Row],[Average Score]]&gt;85,"Excellent",IF(placement_data[[#This Row],[Average Score]]&gt;=70,"Good","Average"))</f>
        <v>Good</v>
      </c>
      <c r="M2" t="str">
        <f>IF(AND(placement_data[[#This Row],[CGPA]]&gt;7,placement_data[[#This Row],[Aptitude_Score]]&gt;55),"Eligible","Not Eligible")</f>
        <v>Eligible</v>
      </c>
    </row>
    <row r="3" spans="1:13" x14ac:dyDescent="0.35">
      <c r="A3" t="s">
        <v>14</v>
      </c>
      <c r="B3" t="s">
        <v>15</v>
      </c>
      <c r="C3" t="s">
        <v>16</v>
      </c>
      <c r="D3" s="1">
        <v>7.2</v>
      </c>
      <c r="E3">
        <v>1</v>
      </c>
      <c r="F3">
        <v>65</v>
      </c>
      <c r="G3">
        <v>75</v>
      </c>
      <c r="H3" s="2">
        <v>85</v>
      </c>
      <c r="I3" t="s">
        <v>13</v>
      </c>
      <c r="J3">
        <v>5</v>
      </c>
      <c r="K3">
        <f>(placement_data[[#This Row],[Aptitude_Score]]+placement_data[[#This Row],[Communication_Score]])/2</f>
        <v>70</v>
      </c>
      <c r="L3" t="str">
        <f>IF(placement_data[[#This Row],[Average Score]]&gt;85,"Excellent",IF(placement_data[[#This Row],[Average Score]]&gt;=70,"Good","Average"))</f>
        <v>Good</v>
      </c>
      <c r="M3" t="str">
        <f>IF(AND(placement_data[[#This Row],[CGPA]]&gt;7,placement_data[[#This Row],[Aptitude_Score]]&gt;55),"Eligible","Not Eligible")</f>
        <v>Eligible</v>
      </c>
    </row>
    <row r="4" spans="1:13" x14ac:dyDescent="0.35">
      <c r="A4" t="s">
        <v>17</v>
      </c>
      <c r="B4" t="s">
        <v>11</v>
      </c>
      <c r="C4" t="s">
        <v>18</v>
      </c>
      <c r="D4" s="1">
        <v>6.8</v>
      </c>
      <c r="E4">
        <v>0</v>
      </c>
      <c r="F4">
        <v>55</v>
      </c>
      <c r="G4">
        <v>60</v>
      </c>
      <c r="H4" s="2">
        <v>80</v>
      </c>
      <c r="I4" t="s">
        <v>19</v>
      </c>
      <c r="J4">
        <v>0</v>
      </c>
      <c r="K4">
        <f>(placement_data[[#This Row],[Aptitude_Score]]+placement_data[[#This Row],[Communication_Score]])/2</f>
        <v>57.5</v>
      </c>
      <c r="L4" t="str">
        <f>IF(placement_data[[#This Row],[Average Score]]&gt;85,"Excellent",IF(placement_data[[#This Row],[Average Score]]&gt;=70,"Good","Average"))</f>
        <v>Average</v>
      </c>
      <c r="M4" t="str">
        <f>IF(AND(placement_data[[#This Row],[CGPA]]&gt;7,placement_data[[#This Row],[Aptitude_Score]]&gt;55),"Eligible","Not Eligible")</f>
        <v>Not Eligible</v>
      </c>
    </row>
    <row r="5" spans="1:13" x14ac:dyDescent="0.35">
      <c r="A5" t="s">
        <v>20</v>
      </c>
      <c r="B5" t="s">
        <v>15</v>
      </c>
      <c r="C5" t="s">
        <v>12</v>
      </c>
      <c r="D5" s="1">
        <v>9.1</v>
      </c>
      <c r="E5">
        <v>3</v>
      </c>
      <c r="F5">
        <v>88</v>
      </c>
      <c r="G5">
        <v>91</v>
      </c>
      <c r="H5" s="2">
        <v>95</v>
      </c>
      <c r="I5" t="s">
        <v>13</v>
      </c>
      <c r="J5">
        <v>12</v>
      </c>
      <c r="K5">
        <f>(placement_data[[#This Row],[Aptitude_Score]]+placement_data[[#This Row],[Communication_Score]])/2</f>
        <v>89.5</v>
      </c>
      <c r="L5" t="str">
        <f>IF(placement_data[[#This Row],[Average Score]]&gt;85,"Excellent",IF(placement_data[[#This Row],[Average Score]]&gt;=70,"Good","Average"))</f>
        <v>Excellent</v>
      </c>
      <c r="M5" t="str">
        <f>IF(AND(placement_data[[#This Row],[CGPA]]&gt;7,placement_data[[#This Row],[Aptitude_Score]]&gt;55),"Eligible","Not Eligible")</f>
        <v>Eligible</v>
      </c>
    </row>
    <row r="6" spans="1:13" x14ac:dyDescent="0.35">
      <c r="A6" t="s">
        <v>21</v>
      </c>
      <c r="B6" t="s">
        <v>11</v>
      </c>
      <c r="C6" t="s">
        <v>22</v>
      </c>
      <c r="D6" s="1">
        <v>7</v>
      </c>
      <c r="E6">
        <v>1</v>
      </c>
      <c r="F6">
        <v>62</v>
      </c>
      <c r="G6">
        <v>68</v>
      </c>
      <c r="H6" s="2">
        <v>78</v>
      </c>
      <c r="I6" t="s">
        <v>19</v>
      </c>
      <c r="J6">
        <v>0</v>
      </c>
      <c r="K6">
        <f>(placement_data[[#This Row],[Aptitude_Score]]+placement_data[[#This Row],[Communication_Score]])/2</f>
        <v>65</v>
      </c>
      <c r="L6" t="str">
        <f>IF(placement_data[[#This Row],[Average Score]]&gt;85,"Excellent",IF(placement_data[[#This Row],[Average Score]]&gt;=70,"Good","Average"))</f>
        <v>Average</v>
      </c>
      <c r="M6" t="str">
        <f>IF(AND(placement_data[[#This Row],[CGPA]]&gt;7,placement_data[[#This Row],[Aptitude_Score]]&gt;55),"Eligible","Not Eligible")</f>
        <v>Not Eligible</v>
      </c>
    </row>
    <row r="7" spans="1:13" x14ac:dyDescent="0.35">
      <c r="A7" t="s">
        <v>23</v>
      </c>
      <c r="B7" t="s">
        <v>15</v>
      </c>
      <c r="C7" t="s">
        <v>24</v>
      </c>
      <c r="D7" s="1">
        <v>8</v>
      </c>
      <c r="E7">
        <v>2</v>
      </c>
      <c r="F7">
        <v>72</v>
      </c>
      <c r="G7">
        <v>80</v>
      </c>
      <c r="H7" s="2">
        <v>88</v>
      </c>
      <c r="I7" t="s">
        <v>13</v>
      </c>
      <c r="J7">
        <v>6</v>
      </c>
      <c r="K7">
        <f>(placement_data[[#This Row],[Aptitude_Score]]+placement_data[[#This Row],[Communication_Score]])/2</f>
        <v>76</v>
      </c>
      <c r="L7" t="str">
        <f>IF(placement_data[[#This Row],[Average Score]]&gt;85,"Excellent",IF(placement_data[[#This Row],[Average Score]]&gt;=70,"Good","Average"))</f>
        <v>Good</v>
      </c>
      <c r="M7" t="str">
        <f>IF(AND(placement_data[[#This Row],[CGPA]]&gt;7,placement_data[[#This Row],[Aptitude_Score]]&gt;55),"Eligible","Not Eligible")</f>
        <v>Eligible</v>
      </c>
    </row>
    <row r="8" spans="1:13" x14ac:dyDescent="0.35">
      <c r="A8" t="s">
        <v>25</v>
      </c>
      <c r="B8" t="s">
        <v>11</v>
      </c>
      <c r="C8" t="s">
        <v>12</v>
      </c>
      <c r="D8" s="1">
        <v>9.3000000000000007</v>
      </c>
      <c r="E8">
        <v>4</v>
      </c>
      <c r="F8">
        <v>92</v>
      </c>
      <c r="G8">
        <v>95</v>
      </c>
      <c r="H8" s="2">
        <v>97</v>
      </c>
      <c r="I8" t="s">
        <v>13</v>
      </c>
      <c r="J8">
        <v>15</v>
      </c>
      <c r="K8">
        <f>(placement_data[[#This Row],[Aptitude_Score]]+placement_data[[#This Row],[Communication_Score]])/2</f>
        <v>93.5</v>
      </c>
      <c r="L8" t="str">
        <f>IF(placement_data[[#This Row],[Average Score]]&gt;85,"Excellent",IF(placement_data[[#This Row],[Average Score]]&gt;=70,"Good","Average"))</f>
        <v>Excellent</v>
      </c>
      <c r="M8" t="str">
        <f>IF(AND(placement_data[[#This Row],[CGPA]]&gt;7,placement_data[[#This Row],[Aptitude_Score]]&gt;55),"Eligible","Not Eligible")</f>
        <v>Eligible</v>
      </c>
    </row>
    <row r="9" spans="1:13" x14ac:dyDescent="0.35">
      <c r="A9" t="s">
        <v>26</v>
      </c>
      <c r="B9" t="s">
        <v>15</v>
      </c>
      <c r="C9" t="s">
        <v>16</v>
      </c>
      <c r="D9" s="1">
        <v>6.5</v>
      </c>
      <c r="E9">
        <v>0</v>
      </c>
      <c r="F9">
        <v>50</v>
      </c>
      <c r="G9">
        <v>58</v>
      </c>
      <c r="H9" s="2">
        <v>75</v>
      </c>
      <c r="I9" t="s">
        <v>19</v>
      </c>
      <c r="J9">
        <v>0</v>
      </c>
      <c r="K9">
        <f>(placement_data[[#This Row],[Aptitude_Score]]+placement_data[[#This Row],[Communication_Score]])/2</f>
        <v>54</v>
      </c>
      <c r="L9" t="str">
        <f>IF(placement_data[[#This Row],[Average Score]]&gt;85,"Excellent",IF(placement_data[[#This Row],[Average Score]]&gt;=70,"Good","Average"))</f>
        <v>Average</v>
      </c>
      <c r="M9" t="str">
        <f>IF(AND(placement_data[[#This Row],[CGPA]]&gt;7,placement_data[[#This Row],[Aptitude_Score]]&gt;55),"Eligible","Not Eligible")</f>
        <v>Not Eligible</v>
      </c>
    </row>
    <row r="10" spans="1:13" x14ac:dyDescent="0.35">
      <c r="A10" t="s">
        <v>27</v>
      </c>
      <c r="B10" t="s">
        <v>11</v>
      </c>
      <c r="C10" t="s">
        <v>18</v>
      </c>
      <c r="D10" s="1">
        <v>7.8</v>
      </c>
      <c r="E10">
        <v>1</v>
      </c>
      <c r="F10">
        <v>70</v>
      </c>
      <c r="G10">
        <v>72</v>
      </c>
      <c r="H10" s="2">
        <v>84</v>
      </c>
      <c r="I10" t="s">
        <v>13</v>
      </c>
      <c r="J10">
        <v>5</v>
      </c>
      <c r="K10">
        <f>(placement_data[[#This Row],[Aptitude_Score]]+placement_data[[#This Row],[Communication_Score]])/2</f>
        <v>71</v>
      </c>
      <c r="L10" t="str">
        <f>IF(placement_data[[#This Row],[Average Score]]&gt;85,"Excellent",IF(placement_data[[#This Row],[Average Score]]&gt;=70,"Good","Average"))</f>
        <v>Good</v>
      </c>
      <c r="M10" t="str">
        <f>IF(AND(placement_data[[#This Row],[CGPA]]&gt;7,placement_data[[#This Row],[Aptitude_Score]]&gt;55),"Eligible","Not Eligible")</f>
        <v>Eligible</v>
      </c>
    </row>
    <row r="11" spans="1:13" x14ac:dyDescent="0.35">
      <c r="A11" t="s">
        <v>28</v>
      </c>
      <c r="B11" t="s">
        <v>15</v>
      </c>
      <c r="C11" t="s">
        <v>12</v>
      </c>
      <c r="D11" s="1">
        <v>8.6999999999999993</v>
      </c>
      <c r="E11">
        <v>2</v>
      </c>
      <c r="F11">
        <v>85</v>
      </c>
      <c r="G11">
        <v>89</v>
      </c>
      <c r="H11" s="2">
        <v>92</v>
      </c>
      <c r="I11" t="s">
        <v>13</v>
      </c>
      <c r="J11">
        <v>10</v>
      </c>
      <c r="K11">
        <f>(placement_data[[#This Row],[Aptitude_Score]]+placement_data[[#This Row],[Communication_Score]])/2</f>
        <v>87</v>
      </c>
      <c r="L11" t="str">
        <f>IF(placement_data[[#This Row],[Average Score]]&gt;85,"Excellent",IF(placement_data[[#This Row],[Average Score]]&gt;=70,"Good","Average"))</f>
        <v>Excellent</v>
      </c>
      <c r="M11" t="str">
        <f>IF(AND(placement_data[[#This Row],[CGPA]]&gt;7,placement_data[[#This Row],[Aptitude_Score]]&gt;55),"Eligible","Not Eligible")</f>
        <v>Eligible</v>
      </c>
    </row>
    <row r="12" spans="1:13" x14ac:dyDescent="0.35">
      <c r="A12" t="s">
        <v>29</v>
      </c>
      <c r="B12" t="s">
        <v>11</v>
      </c>
      <c r="C12" t="s">
        <v>30</v>
      </c>
      <c r="D12" s="1">
        <v>7.9</v>
      </c>
      <c r="E12">
        <v>2</v>
      </c>
      <c r="F12">
        <v>74</v>
      </c>
      <c r="G12">
        <v>78</v>
      </c>
      <c r="H12" s="2">
        <v>88</v>
      </c>
      <c r="I12" t="s">
        <v>13</v>
      </c>
      <c r="J12">
        <v>6</v>
      </c>
      <c r="K12">
        <f>(placement_data[[#This Row],[Aptitude_Score]]+placement_data[[#This Row],[Communication_Score]])/2</f>
        <v>76</v>
      </c>
      <c r="L12" t="str">
        <f>IF(placement_data[[#This Row],[Average Score]]&gt;85,"Excellent",IF(placement_data[[#This Row],[Average Score]]&gt;=70,"Good","Average"))</f>
        <v>Good</v>
      </c>
      <c r="M12" t="str">
        <f>IF(AND(placement_data[[#This Row],[CGPA]]&gt;7,placement_data[[#This Row],[Aptitude_Score]]&gt;55),"Eligible","Not Eligible")</f>
        <v>Eligible</v>
      </c>
    </row>
    <row r="13" spans="1:13" x14ac:dyDescent="0.35">
      <c r="A13" t="s">
        <v>31</v>
      </c>
      <c r="B13" t="s">
        <v>15</v>
      </c>
      <c r="C13" t="s">
        <v>12</v>
      </c>
      <c r="D13" s="1">
        <v>9</v>
      </c>
      <c r="E13">
        <v>3</v>
      </c>
      <c r="F13">
        <v>90</v>
      </c>
      <c r="G13">
        <v>93</v>
      </c>
      <c r="H13" s="2">
        <v>96</v>
      </c>
      <c r="I13" t="s">
        <v>13</v>
      </c>
      <c r="J13">
        <v>13</v>
      </c>
      <c r="K13">
        <f>(placement_data[[#This Row],[Aptitude_Score]]+placement_data[[#This Row],[Communication_Score]])/2</f>
        <v>91.5</v>
      </c>
      <c r="L13" t="str">
        <f>IF(placement_data[[#This Row],[Average Score]]&gt;85,"Excellent",IF(placement_data[[#This Row],[Average Score]]&gt;=70,"Good","Average"))</f>
        <v>Excellent</v>
      </c>
      <c r="M13" t="str">
        <f>IF(AND(placement_data[[#This Row],[CGPA]]&gt;7,placement_data[[#This Row],[Aptitude_Score]]&gt;55),"Eligible","Not Eligible")</f>
        <v>Eligible</v>
      </c>
    </row>
    <row r="14" spans="1:13" x14ac:dyDescent="0.35">
      <c r="A14" t="s">
        <v>32</v>
      </c>
      <c r="B14" t="s">
        <v>11</v>
      </c>
      <c r="C14" t="s">
        <v>22</v>
      </c>
      <c r="D14" s="1">
        <v>6.9</v>
      </c>
      <c r="E14">
        <v>1</v>
      </c>
      <c r="F14">
        <v>60</v>
      </c>
      <c r="G14">
        <v>65</v>
      </c>
      <c r="H14" s="2">
        <v>79</v>
      </c>
      <c r="I14" t="s">
        <v>19</v>
      </c>
      <c r="J14">
        <v>0</v>
      </c>
      <c r="K14">
        <f>(placement_data[[#This Row],[Aptitude_Score]]+placement_data[[#This Row],[Communication_Score]])/2</f>
        <v>62.5</v>
      </c>
      <c r="L14" t="str">
        <f>IF(placement_data[[#This Row],[Average Score]]&gt;85,"Excellent",IF(placement_data[[#This Row],[Average Score]]&gt;=70,"Good","Average"))</f>
        <v>Average</v>
      </c>
      <c r="M14" t="str">
        <f>IF(AND(placement_data[[#This Row],[CGPA]]&gt;7,placement_data[[#This Row],[Aptitude_Score]]&gt;55),"Eligible","Not Eligible")</f>
        <v>Not Eligible</v>
      </c>
    </row>
    <row r="15" spans="1:13" x14ac:dyDescent="0.35">
      <c r="A15" t="s">
        <v>33</v>
      </c>
      <c r="B15" t="s">
        <v>15</v>
      </c>
      <c r="C15" t="s">
        <v>16</v>
      </c>
      <c r="D15" s="1">
        <v>8.1999999999999993</v>
      </c>
      <c r="E15">
        <v>2</v>
      </c>
      <c r="F15">
        <v>77</v>
      </c>
      <c r="G15">
        <v>81</v>
      </c>
      <c r="H15" s="2">
        <v>90</v>
      </c>
      <c r="I15" t="s">
        <v>13</v>
      </c>
      <c r="J15">
        <v>7</v>
      </c>
      <c r="K15">
        <f>(placement_data[[#This Row],[Aptitude_Score]]+placement_data[[#This Row],[Communication_Score]])/2</f>
        <v>79</v>
      </c>
      <c r="L15" t="str">
        <f>IF(placement_data[[#This Row],[Average Score]]&gt;85,"Excellent",IF(placement_data[[#This Row],[Average Score]]&gt;=70,"Good","Average"))</f>
        <v>Good</v>
      </c>
      <c r="M15" t="str">
        <f>IF(AND(placement_data[[#This Row],[CGPA]]&gt;7,placement_data[[#This Row],[Aptitude_Score]]&gt;55),"Eligible","Not Eligible")</f>
        <v>Eligible</v>
      </c>
    </row>
    <row r="16" spans="1:13" x14ac:dyDescent="0.35">
      <c r="A16" t="s">
        <v>34</v>
      </c>
      <c r="B16" t="s">
        <v>11</v>
      </c>
      <c r="C16" t="s">
        <v>24</v>
      </c>
      <c r="D16" s="1">
        <v>7.1</v>
      </c>
      <c r="E16">
        <v>0</v>
      </c>
      <c r="F16">
        <v>58</v>
      </c>
      <c r="G16">
        <v>63</v>
      </c>
      <c r="H16" s="2">
        <v>82</v>
      </c>
      <c r="I16" t="s">
        <v>19</v>
      </c>
      <c r="J16">
        <v>0</v>
      </c>
      <c r="K16">
        <f>(placement_data[[#This Row],[Aptitude_Score]]+placement_data[[#This Row],[Communication_Score]])/2</f>
        <v>60.5</v>
      </c>
      <c r="L16" t="str">
        <f>IF(placement_data[[#This Row],[Average Score]]&gt;85,"Excellent",IF(placement_data[[#This Row],[Average Score]]&gt;=70,"Good","Average"))</f>
        <v>Average</v>
      </c>
      <c r="M16" t="str">
        <f>IF(AND(placement_data[[#This Row],[CGPA]]&gt;7,placement_data[[#This Row],[Aptitude_Score]]&gt;55),"Eligible","Not Eligible")</f>
        <v>Eligible</v>
      </c>
    </row>
    <row r="17" spans="1:13" x14ac:dyDescent="0.35">
      <c r="A17" t="s">
        <v>35</v>
      </c>
      <c r="B17" t="s">
        <v>15</v>
      </c>
      <c r="C17" t="s">
        <v>30</v>
      </c>
      <c r="D17" s="1">
        <v>8.8000000000000007</v>
      </c>
      <c r="E17">
        <v>3</v>
      </c>
      <c r="F17">
        <v>86</v>
      </c>
      <c r="G17">
        <v>90</v>
      </c>
      <c r="H17" s="2">
        <v>94</v>
      </c>
      <c r="I17" t="s">
        <v>13</v>
      </c>
      <c r="J17">
        <v>11</v>
      </c>
      <c r="K17">
        <f>(placement_data[[#This Row],[Aptitude_Score]]+placement_data[[#This Row],[Communication_Score]])/2</f>
        <v>88</v>
      </c>
      <c r="L17" t="str">
        <f>IF(placement_data[[#This Row],[Average Score]]&gt;85,"Excellent",IF(placement_data[[#This Row],[Average Score]]&gt;=70,"Good","Average"))</f>
        <v>Excellent</v>
      </c>
      <c r="M17" t="str">
        <f>IF(AND(placement_data[[#This Row],[CGPA]]&gt;7,placement_data[[#This Row],[Aptitude_Score]]&gt;55),"Eligible","Not Eligible")</f>
        <v>Eligible</v>
      </c>
    </row>
    <row r="18" spans="1:13" x14ac:dyDescent="0.35">
      <c r="A18" t="s">
        <v>36</v>
      </c>
      <c r="B18" t="s">
        <v>11</v>
      </c>
      <c r="C18" t="s">
        <v>12</v>
      </c>
      <c r="D18" s="1">
        <v>9.4</v>
      </c>
      <c r="E18">
        <v>4</v>
      </c>
      <c r="F18">
        <v>95</v>
      </c>
      <c r="G18">
        <v>96</v>
      </c>
      <c r="H18" s="2">
        <v>98</v>
      </c>
      <c r="I18" t="s">
        <v>13</v>
      </c>
      <c r="J18">
        <v>16</v>
      </c>
      <c r="K18">
        <f>(placement_data[[#This Row],[Aptitude_Score]]+placement_data[[#This Row],[Communication_Score]])/2</f>
        <v>95.5</v>
      </c>
      <c r="L18" t="str">
        <f>IF(placement_data[[#This Row],[Average Score]]&gt;85,"Excellent",IF(placement_data[[#This Row],[Average Score]]&gt;=70,"Good","Average"))</f>
        <v>Excellent</v>
      </c>
      <c r="M18" t="str">
        <f>IF(AND(placement_data[[#This Row],[CGPA]]&gt;7,placement_data[[#This Row],[Aptitude_Score]]&gt;55),"Eligible","Not Eligible")</f>
        <v>Eligible</v>
      </c>
    </row>
    <row r="19" spans="1:13" x14ac:dyDescent="0.35">
      <c r="A19" t="s">
        <v>37</v>
      </c>
      <c r="B19" t="s">
        <v>15</v>
      </c>
      <c r="C19" t="s">
        <v>18</v>
      </c>
      <c r="D19" s="1">
        <v>7.4</v>
      </c>
      <c r="E19">
        <v>1</v>
      </c>
      <c r="F19">
        <v>68</v>
      </c>
      <c r="G19">
        <v>74</v>
      </c>
      <c r="H19" s="2">
        <v>86</v>
      </c>
      <c r="I19" t="s">
        <v>13</v>
      </c>
      <c r="J19">
        <v>5</v>
      </c>
      <c r="K19">
        <f>(placement_data[[#This Row],[Aptitude_Score]]+placement_data[[#This Row],[Communication_Score]])/2</f>
        <v>71</v>
      </c>
      <c r="L19" t="str">
        <f>IF(placement_data[[#This Row],[Average Score]]&gt;85,"Excellent",IF(placement_data[[#This Row],[Average Score]]&gt;=70,"Good","Average"))</f>
        <v>Good</v>
      </c>
      <c r="M19" t="str">
        <f>IF(AND(placement_data[[#This Row],[CGPA]]&gt;7,placement_data[[#This Row],[Aptitude_Score]]&gt;55),"Eligible","Not Eligible")</f>
        <v>Eligible</v>
      </c>
    </row>
    <row r="20" spans="1:13" x14ac:dyDescent="0.35">
      <c r="A20" t="s">
        <v>38</v>
      </c>
      <c r="B20" t="s">
        <v>11</v>
      </c>
      <c r="C20" t="s">
        <v>16</v>
      </c>
      <c r="D20" s="1">
        <v>6.7</v>
      </c>
      <c r="E20">
        <v>0</v>
      </c>
      <c r="F20">
        <v>54</v>
      </c>
      <c r="G20">
        <v>59</v>
      </c>
      <c r="H20" s="2">
        <v>77</v>
      </c>
      <c r="I20" t="s">
        <v>19</v>
      </c>
      <c r="J20">
        <v>0</v>
      </c>
      <c r="K20">
        <f>(placement_data[[#This Row],[Aptitude_Score]]+placement_data[[#This Row],[Communication_Score]])/2</f>
        <v>56.5</v>
      </c>
      <c r="L20" t="str">
        <f>IF(placement_data[[#This Row],[Average Score]]&gt;85,"Excellent",IF(placement_data[[#This Row],[Average Score]]&gt;=70,"Good","Average"))</f>
        <v>Average</v>
      </c>
      <c r="M20" t="str">
        <f>IF(AND(placement_data[[#This Row],[CGPA]]&gt;7,placement_data[[#This Row],[Aptitude_Score]]&gt;55),"Eligible","Not Eligible")</f>
        <v>Not Eligible</v>
      </c>
    </row>
    <row r="21" spans="1:13" x14ac:dyDescent="0.35">
      <c r="A21" t="s">
        <v>39</v>
      </c>
      <c r="B21" t="s">
        <v>15</v>
      </c>
      <c r="C21" t="s">
        <v>12</v>
      </c>
      <c r="D21" s="1">
        <v>8.9</v>
      </c>
      <c r="E21">
        <v>2</v>
      </c>
      <c r="F21">
        <v>87</v>
      </c>
      <c r="G21">
        <v>92</v>
      </c>
      <c r="H21" s="2">
        <v>95</v>
      </c>
      <c r="I21" t="s">
        <v>13</v>
      </c>
      <c r="J21">
        <v>12</v>
      </c>
      <c r="K21">
        <f>(placement_data[[#This Row],[Aptitude_Score]]+placement_data[[#This Row],[Communication_Score]])/2</f>
        <v>89.5</v>
      </c>
      <c r="L21" t="str">
        <f>IF(placement_data[[#This Row],[Average Score]]&gt;85,"Excellent",IF(placement_data[[#This Row],[Average Score]]&gt;=70,"Good","Average"))</f>
        <v>Excellent</v>
      </c>
      <c r="M21" t="str">
        <f>IF(AND(placement_data[[#This Row],[CGPA]]&gt;7,placement_data[[#This Row],[Aptitude_Score]]&gt;55),"Eligible","Not Eligible")</f>
        <v>Eligible</v>
      </c>
    </row>
    <row r="22" spans="1:13" x14ac:dyDescent="0.35">
      <c r="A22" t="s">
        <v>40</v>
      </c>
      <c r="B22" t="s">
        <v>11</v>
      </c>
      <c r="C22" t="s">
        <v>30</v>
      </c>
      <c r="D22" s="1">
        <v>8.1</v>
      </c>
      <c r="E22">
        <v>2</v>
      </c>
      <c r="F22">
        <v>76</v>
      </c>
      <c r="G22">
        <v>79</v>
      </c>
      <c r="H22" s="2">
        <v>89</v>
      </c>
      <c r="I22" t="s">
        <v>13</v>
      </c>
      <c r="J22">
        <v>7</v>
      </c>
      <c r="K22">
        <f>(placement_data[[#This Row],[Aptitude_Score]]+placement_data[[#This Row],[Communication_Score]])/2</f>
        <v>77.5</v>
      </c>
      <c r="L22" t="str">
        <f>IF(placement_data[[#This Row],[Average Score]]&gt;85,"Excellent",IF(placement_data[[#This Row],[Average Score]]&gt;=70,"Good","Average"))</f>
        <v>Good</v>
      </c>
      <c r="M22" t="str">
        <f>IF(AND(placement_data[[#This Row],[CGPA]]&gt;7,placement_data[[#This Row],[Aptitude_Score]]&gt;55),"Eligible","Not Eligible")</f>
        <v>Eligible</v>
      </c>
    </row>
    <row r="23" spans="1:13" x14ac:dyDescent="0.35">
      <c r="A23" t="s">
        <v>41</v>
      </c>
      <c r="B23" t="s">
        <v>15</v>
      </c>
      <c r="C23" t="s">
        <v>22</v>
      </c>
      <c r="D23" s="1">
        <v>7</v>
      </c>
      <c r="E23">
        <v>1</v>
      </c>
      <c r="F23">
        <v>64</v>
      </c>
      <c r="G23">
        <v>69</v>
      </c>
      <c r="H23" s="2">
        <v>81</v>
      </c>
      <c r="I23" t="s">
        <v>19</v>
      </c>
      <c r="J23">
        <v>0</v>
      </c>
      <c r="K23">
        <f>(placement_data[[#This Row],[Aptitude_Score]]+placement_data[[#This Row],[Communication_Score]])/2</f>
        <v>66.5</v>
      </c>
      <c r="L23" t="str">
        <f>IF(placement_data[[#This Row],[Average Score]]&gt;85,"Excellent",IF(placement_data[[#This Row],[Average Score]]&gt;=70,"Good","Average"))</f>
        <v>Average</v>
      </c>
      <c r="M23" t="str">
        <f>IF(AND(placement_data[[#This Row],[CGPA]]&gt;7,placement_data[[#This Row],[Aptitude_Score]]&gt;55),"Eligible","Not Eligible")</f>
        <v>Not Eligible</v>
      </c>
    </row>
    <row r="24" spans="1:13" x14ac:dyDescent="0.35">
      <c r="A24" t="s">
        <v>42</v>
      </c>
      <c r="B24" t="s">
        <v>11</v>
      </c>
      <c r="C24" t="s">
        <v>12</v>
      </c>
      <c r="D24" s="1">
        <v>9.1999999999999993</v>
      </c>
      <c r="E24">
        <v>3</v>
      </c>
      <c r="F24">
        <v>91</v>
      </c>
      <c r="G24">
        <v>94</v>
      </c>
      <c r="H24" s="2">
        <v>97</v>
      </c>
      <c r="I24" t="s">
        <v>13</v>
      </c>
      <c r="J24">
        <v>14</v>
      </c>
      <c r="K24">
        <f>(placement_data[[#This Row],[Aptitude_Score]]+placement_data[[#This Row],[Communication_Score]])/2</f>
        <v>92.5</v>
      </c>
      <c r="L24" t="str">
        <f>IF(placement_data[[#This Row],[Average Score]]&gt;85,"Excellent",IF(placement_data[[#This Row],[Average Score]]&gt;=70,"Good","Average"))</f>
        <v>Excellent</v>
      </c>
      <c r="M24" t="str">
        <f>IF(AND(placement_data[[#This Row],[CGPA]]&gt;7,placement_data[[#This Row],[Aptitude_Score]]&gt;55),"Eligible","Not Eligible")</f>
        <v>Eligible</v>
      </c>
    </row>
    <row r="25" spans="1:13" x14ac:dyDescent="0.35">
      <c r="A25" t="s">
        <v>43</v>
      </c>
      <c r="B25" t="s">
        <v>15</v>
      </c>
      <c r="C25" t="s">
        <v>16</v>
      </c>
      <c r="D25" s="1">
        <v>8.3000000000000007</v>
      </c>
      <c r="E25">
        <v>2</v>
      </c>
      <c r="F25">
        <v>79</v>
      </c>
      <c r="G25">
        <v>83</v>
      </c>
      <c r="H25" s="2">
        <v>91</v>
      </c>
      <c r="I25" t="s">
        <v>13</v>
      </c>
      <c r="J25">
        <v>8</v>
      </c>
      <c r="K25">
        <f>(placement_data[[#This Row],[Aptitude_Score]]+placement_data[[#This Row],[Communication_Score]])/2</f>
        <v>81</v>
      </c>
      <c r="L25" t="str">
        <f>IF(placement_data[[#This Row],[Average Score]]&gt;85,"Excellent",IF(placement_data[[#This Row],[Average Score]]&gt;=70,"Good","Average"))</f>
        <v>Good</v>
      </c>
      <c r="M25" t="str">
        <f>IF(AND(placement_data[[#This Row],[CGPA]]&gt;7,placement_data[[#This Row],[Aptitude_Score]]&gt;55),"Eligible","Not Eligible")</f>
        <v>Eligible</v>
      </c>
    </row>
    <row r="26" spans="1:13" x14ac:dyDescent="0.35">
      <c r="A26" t="s">
        <v>44</v>
      </c>
      <c r="B26" t="s">
        <v>11</v>
      </c>
      <c r="C26" t="s">
        <v>24</v>
      </c>
      <c r="D26" s="1">
        <v>6.6</v>
      </c>
      <c r="E26">
        <v>0</v>
      </c>
      <c r="F26">
        <v>52</v>
      </c>
      <c r="G26">
        <v>57</v>
      </c>
      <c r="H26" s="2">
        <v>74</v>
      </c>
      <c r="I26" t="s">
        <v>19</v>
      </c>
      <c r="J26">
        <v>0</v>
      </c>
      <c r="K26">
        <f>(placement_data[[#This Row],[Aptitude_Score]]+placement_data[[#This Row],[Communication_Score]])/2</f>
        <v>54.5</v>
      </c>
      <c r="L26" t="str">
        <f>IF(placement_data[[#This Row],[Average Score]]&gt;85,"Excellent",IF(placement_data[[#This Row],[Average Score]]&gt;=70,"Good","Average"))</f>
        <v>Average</v>
      </c>
      <c r="M26" t="str">
        <f>IF(AND(placement_data[[#This Row],[CGPA]]&gt;7,placement_data[[#This Row],[Aptitude_Score]]&gt;55),"Eligible","Not Eligible")</f>
        <v>Not Eligible</v>
      </c>
    </row>
    <row r="27" spans="1:13" x14ac:dyDescent="0.35">
      <c r="A27" t="s">
        <v>45</v>
      </c>
      <c r="B27" t="s">
        <v>15</v>
      </c>
      <c r="C27" t="s">
        <v>30</v>
      </c>
      <c r="D27" s="1">
        <v>8.5</v>
      </c>
      <c r="E27">
        <v>2</v>
      </c>
      <c r="F27">
        <v>82</v>
      </c>
      <c r="G27">
        <v>87</v>
      </c>
      <c r="H27" s="2">
        <v>93</v>
      </c>
      <c r="I27" t="s">
        <v>13</v>
      </c>
      <c r="J27">
        <v>10</v>
      </c>
      <c r="K27">
        <f>(placement_data[[#This Row],[Aptitude_Score]]+placement_data[[#This Row],[Communication_Score]])/2</f>
        <v>84.5</v>
      </c>
      <c r="L27" t="str">
        <f>IF(placement_data[[#This Row],[Average Score]]&gt;85,"Excellent",IF(placement_data[[#This Row],[Average Score]]&gt;=70,"Good","Average"))</f>
        <v>Good</v>
      </c>
      <c r="M27" t="str">
        <f>IF(AND(placement_data[[#This Row],[CGPA]]&gt;7,placement_data[[#This Row],[Aptitude_Score]]&gt;55),"Eligible","Not Eligible")</f>
        <v>Eligible</v>
      </c>
    </row>
    <row r="28" spans="1:13" x14ac:dyDescent="0.35">
      <c r="A28" t="s">
        <v>46</v>
      </c>
      <c r="B28" t="s">
        <v>11</v>
      </c>
      <c r="C28" t="s">
        <v>18</v>
      </c>
      <c r="D28" s="1">
        <v>7.5</v>
      </c>
      <c r="E28">
        <v>1</v>
      </c>
      <c r="F28">
        <v>69</v>
      </c>
      <c r="G28">
        <v>73</v>
      </c>
      <c r="H28" s="2">
        <v>85</v>
      </c>
      <c r="I28" t="s">
        <v>13</v>
      </c>
      <c r="J28">
        <v>5</v>
      </c>
      <c r="K28">
        <f>(placement_data[[#This Row],[Aptitude_Score]]+placement_data[[#This Row],[Communication_Score]])/2</f>
        <v>71</v>
      </c>
      <c r="L28" t="str">
        <f>IF(placement_data[[#This Row],[Average Score]]&gt;85,"Excellent",IF(placement_data[[#This Row],[Average Score]]&gt;=70,"Good","Average"))</f>
        <v>Good</v>
      </c>
      <c r="M28" t="str">
        <f>IF(AND(placement_data[[#This Row],[CGPA]]&gt;7,placement_data[[#This Row],[Aptitude_Score]]&gt;55),"Eligible","Not Eligible")</f>
        <v>Eligible</v>
      </c>
    </row>
    <row r="29" spans="1:13" x14ac:dyDescent="0.35">
      <c r="A29" t="s">
        <v>47</v>
      </c>
      <c r="B29" t="s">
        <v>15</v>
      </c>
      <c r="C29" t="s">
        <v>12</v>
      </c>
      <c r="D29" s="1">
        <v>9.1</v>
      </c>
      <c r="E29">
        <v>4</v>
      </c>
      <c r="F29">
        <v>93</v>
      </c>
      <c r="G29">
        <v>95</v>
      </c>
      <c r="H29" s="2">
        <v>98</v>
      </c>
      <c r="I29" t="s">
        <v>13</v>
      </c>
      <c r="J29">
        <v>15</v>
      </c>
      <c r="K29">
        <f>(placement_data[[#This Row],[Aptitude_Score]]+placement_data[[#This Row],[Communication_Score]])/2</f>
        <v>94</v>
      </c>
      <c r="L29" t="str">
        <f>IF(placement_data[[#This Row],[Average Score]]&gt;85,"Excellent",IF(placement_data[[#This Row],[Average Score]]&gt;=70,"Good","Average"))</f>
        <v>Excellent</v>
      </c>
      <c r="M29" t="str">
        <f>IF(AND(placement_data[[#This Row],[CGPA]]&gt;7,placement_data[[#This Row],[Aptitude_Score]]&gt;55),"Eligible","Not Eligible")</f>
        <v>Eligible</v>
      </c>
    </row>
    <row r="30" spans="1:13" x14ac:dyDescent="0.35">
      <c r="A30" t="s">
        <v>48</v>
      </c>
      <c r="B30" t="s">
        <v>11</v>
      </c>
      <c r="C30" t="s">
        <v>16</v>
      </c>
      <c r="D30" s="1">
        <v>6.8</v>
      </c>
      <c r="E30">
        <v>0</v>
      </c>
      <c r="F30">
        <v>56</v>
      </c>
      <c r="G30">
        <v>61</v>
      </c>
      <c r="H30" s="2">
        <v>78</v>
      </c>
      <c r="I30" t="s">
        <v>19</v>
      </c>
      <c r="J30">
        <v>0</v>
      </c>
      <c r="K30">
        <f>(placement_data[[#This Row],[Aptitude_Score]]+placement_data[[#This Row],[Communication_Score]])/2</f>
        <v>58.5</v>
      </c>
      <c r="L30" t="str">
        <f>IF(placement_data[[#This Row],[Average Score]]&gt;85,"Excellent",IF(placement_data[[#This Row],[Average Score]]&gt;=70,"Good","Average"))</f>
        <v>Average</v>
      </c>
      <c r="M30" t="str">
        <f>IF(AND(placement_data[[#This Row],[CGPA]]&gt;7,placement_data[[#This Row],[Aptitude_Score]]&gt;55),"Eligible","Not Eligible")</f>
        <v>Not Eligible</v>
      </c>
    </row>
    <row r="31" spans="1:13" x14ac:dyDescent="0.35">
      <c r="A31" t="s">
        <v>49</v>
      </c>
      <c r="B31" t="s">
        <v>15</v>
      </c>
      <c r="C31" t="s">
        <v>24</v>
      </c>
      <c r="D31" s="1">
        <v>7.9</v>
      </c>
      <c r="E31">
        <v>2</v>
      </c>
      <c r="F31">
        <v>73</v>
      </c>
      <c r="G31">
        <v>77</v>
      </c>
      <c r="H31" s="2">
        <v>88</v>
      </c>
      <c r="I31" t="s">
        <v>13</v>
      </c>
      <c r="J31">
        <v>6</v>
      </c>
      <c r="K31">
        <f>(placement_data[[#This Row],[Aptitude_Score]]+placement_data[[#This Row],[Communication_Score]])/2</f>
        <v>75</v>
      </c>
      <c r="L31" t="str">
        <f>IF(placement_data[[#This Row],[Average Score]]&gt;85,"Excellent",IF(placement_data[[#This Row],[Average Score]]&gt;=70,"Good","Average"))</f>
        <v>Good</v>
      </c>
      <c r="M31" t="str">
        <f>IF(AND(placement_data[[#This Row],[CGPA]]&gt;7,placement_data[[#This Row],[Aptitude_Score]]&gt;55),"Eligible","Not Eligible")</f>
        <v>Eligible</v>
      </c>
    </row>
    <row r="32" spans="1:13" x14ac:dyDescent="0.35">
      <c r="A32" t="s">
        <v>50</v>
      </c>
      <c r="B32" t="s">
        <v>11</v>
      </c>
      <c r="C32" t="s">
        <v>12</v>
      </c>
      <c r="D32" s="1">
        <v>8.6</v>
      </c>
      <c r="E32">
        <v>2</v>
      </c>
      <c r="F32">
        <v>84</v>
      </c>
      <c r="G32">
        <v>88</v>
      </c>
      <c r="H32" s="2">
        <v>92</v>
      </c>
      <c r="I32" t="s">
        <v>13</v>
      </c>
      <c r="J32">
        <v>10</v>
      </c>
      <c r="K32">
        <f>(placement_data[[#This Row],[Aptitude_Score]]+placement_data[[#This Row],[Communication_Score]])/2</f>
        <v>86</v>
      </c>
      <c r="L32" t="str">
        <f>IF(placement_data[[#This Row],[Average Score]]&gt;85,"Excellent",IF(placement_data[[#This Row],[Average Score]]&gt;=70,"Good","Average"))</f>
        <v>Excellent</v>
      </c>
      <c r="M32" t="str">
        <f>IF(AND(placement_data[[#This Row],[CGPA]]&gt;7,placement_data[[#This Row],[Aptitude_Score]]&gt;55),"Eligible","Not Eligible")</f>
        <v>Eligible</v>
      </c>
    </row>
    <row r="33" spans="1:13" x14ac:dyDescent="0.35">
      <c r="A33" t="s">
        <v>51</v>
      </c>
      <c r="B33" t="s">
        <v>15</v>
      </c>
      <c r="C33" t="s">
        <v>30</v>
      </c>
      <c r="D33" s="1">
        <v>8.4</v>
      </c>
      <c r="E33">
        <v>2</v>
      </c>
      <c r="F33">
        <v>80</v>
      </c>
      <c r="G33">
        <v>85</v>
      </c>
      <c r="H33" s="2">
        <v>91</v>
      </c>
      <c r="I33" t="s">
        <v>13</v>
      </c>
      <c r="J33">
        <v>9</v>
      </c>
      <c r="K33">
        <f>(placement_data[[#This Row],[Aptitude_Score]]+placement_data[[#This Row],[Communication_Score]])/2</f>
        <v>82.5</v>
      </c>
      <c r="L33" t="str">
        <f>IF(placement_data[[#This Row],[Average Score]]&gt;85,"Excellent",IF(placement_data[[#This Row],[Average Score]]&gt;=70,"Good","Average"))</f>
        <v>Good</v>
      </c>
      <c r="M33" t="str">
        <f>IF(AND(placement_data[[#This Row],[CGPA]]&gt;7,placement_data[[#This Row],[Aptitude_Score]]&gt;55),"Eligible","Not Eligible")</f>
        <v>Eligible</v>
      </c>
    </row>
    <row r="34" spans="1:13" x14ac:dyDescent="0.35">
      <c r="A34" t="s">
        <v>52</v>
      </c>
      <c r="B34" t="s">
        <v>11</v>
      </c>
      <c r="C34" t="s">
        <v>22</v>
      </c>
      <c r="D34" s="1">
        <v>7.2</v>
      </c>
      <c r="E34">
        <v>1</v>
      </c>
      <c r="F34">
        <v>65</v>
      </c>
      <c r="G34">
        <v>70</v>
      </c>
      <c r="H34" s="2">
        <v>83</v>
      </c>
      <c r="I34" t="s">
        <v>13</v>
      </c>
      <c r="J34">
        <v>4</v>
      </c>
      <c r="K34">
        <f>(placement_data[[#This Row],[Aptitude_Score]]+placement_data[[#This Row],[Communication_Score]])/2</f>
        <v>67.5</v>
      </c>
      <c r="L34" t="str">
        <f>IF(placement_data[[#This Row],[Average Score]]&gt;85,"Excellent",IF(placement_data[[#This Row],[Average Score]]&gt;=70,"Good","Average"))</f>
        <v>Average</v>
      </c>
      <c r="M34" t="str">
        <f>IF(AND(placement_data[[#This Row],[CGPA]]&gt;7,placement_data[[#This Row],[Aptitude_Score]]&gt;55),"Eligible","Not Eligible")</f>
        <v>Eligible</v>
      </c>
    </row>
    <row r="35" spans="1:13" x14ac:dyDescent="0.35">
      <c r="A35" t="s">
        <v>53</v>
      </c>
      <c r="B35" t="s">
        <v>15</v>
      </c>
      <c r="C35" t="s">
        <v>16</v>
      </c>
      <c r="D35" s="1">
        <v>8</v>
      </c>
      <c r="E35">
        <v>2</v>
      </c>
      <c r="F35">
        <v>75</v>
      </c>
      <c r="G35">
        <v>80</v>
      </c>
      <c r="H35" s="2">
        <v>89</v>
      </c>
      <c r="I35" t="s">
        <v>13</v>
      </c>
      <c r="J35">
        <v>7</v>
      </c>
      <c r="K35">
        <f>(placement_data[[#This Row],[Aptitude_Score]]+placement_data[[#This Row],[Communication_Score]])/2</f>
        <v>77.5</v>
      </c>
      <c r="L35" t="str">
        <f>IF(placement_data[[#This Row],[Average Score]]&gt;85,"Excellent",IF(placement_data[[#This Row],[Average Score]]&gt;=70,"Good","Average"))</f>
        <v>Good</v>
      </c>
      <c r="M35" t="str">
        <f>IF(AND(placement_data[[#This Row],[CGPA]]&gt;7,placement_data[[#This Row],[Aptitude_Score]]&gt;55),"Eligible","Not Eligible")</f>
        <v>Eligible</v>
      </c>
    </row>
    <row r="36" spans="1:13" x14ac:dyDescent="0.35">
      <c r="A36" t="s">
        <v>54</v>
      </c>
      <c r="B36" t="s">
        <v>11</v>
      </c>
      <c r="C36" t="s">
        <v>24</v>
      </c>
      <c r="D36" s="1">
        <v>6.9</v>
      </c>
      <c r="E36">
        <v>0</v>
      </c>
      <c r="F36">
        <v>59</v>
      </c>
      <c r="G36">
        <v>64</v>
      </c>
      <c r="H36" s="2">
        <v>79</v>
      </c>
      <c r="I36" t="s">
        <v>19</v>
      </c>
      <c r="J36">
        <v>0</v>
      </c>
      <c r="K36">
        <f>(placement_data[[#This Row],[Aptitude_Score]]+placement_data[[#This Row],[Communication_Score]])/2</f>
        <v>61.5</v>
      </c>
      <c r="L36" t="str">
        <f>IF(placement_data[[#This Row],[Average Score]]&gt;85,"Excellent",IF(placement_data[[#This Row],[Average Score]]&gt;=70,"Good","Average"))</f>
        <v>Average</v>
      </c>
      <c r="M36" t="str">
        <f>IF(AND(placement_data[[#This Row],[CGPA]]&gt;7,placement_data[[#This Row],[Aptitude_Score]]&gt;55),"Eligible","Not Eligible")</f>
        <v>Not Eligible</v>
      </c>
    </row>
    <row r="37" spans="1:13" x14ac:dyDescent="0.35">
      <c r="A37" t="s">
        <v>55</v>
      </c>
      <c r="B37" t="s">
        <v>15</v>
      </c>
      <c r="C37" t="s">
        <v>12</v>
      </c>
      <c r="D37" s="1">
        <v>9.3000000000000007</v>
      </c>
      <c r="E37">
        <v>4</v>
      </c>
      <c r="F37">
        <v>94</v>
      </c>
      <c r="G37">
        <v>97</v>
      </c>
      <c r="H37" s="2">
        <v>99</v>
      </c>
      <c r="I37" t="s">
        <v>13</v>
      </c>
      <c r="J37">
        <v>16</v>
      </c>
      <c r="K37">
        <f>(placement_data[[#This Row],[Aptitude_Score]]+placement_data[[#This Row],[Communication_Score]])/2</f>
        <v>95.5</v>
      </c>
      <c r="L37" t="str">
        <f>IF(placement_data[[#This Row],[Average Score]]&gt;85,"Excellent",IF(placement_data[[#This Row],[Average Score]]&gt;=70,"Good","Average"))</f>
        <v>Excellent</v>
      </c>
      <c r="M37" t="str">
        <f>IF(AND(placement_data[[#This Row],[CGPA]]&gt;7,placement_data[[#This Row],[Aptitude_Score]]&gt;55),"Eligible","Not Eligible")</f>
        <v>Eligible</v>
      </c>
    </row>
    <row r="38" spans="1:13" x14ac:dyDescent="0.35">
      <c r="A38" t="s">
        <v>56</v>
      </c>
      <c r="B38" t="s">
        <v>11</v>
      </c>
      <c r="C38" t="s">
        <v>30</v>
      </c>
      <c r="D38" s="1">
        <v>8.1999999999999993</v>
      </c>
      <c r="E38">
        <v>2</v>
      </c>
      <c r="F38">
        <v>78</v>
      </c>
      <c r="G38">
        <v>82</v>
      </c>
      <c r="H38" s="2">
        <v>90</v>
      </c>
      <c r="I38" t="s">
        <v>13</v>
      </c>
      <c r="J38">
        <v>8</v>
      </c>
      <c r="K38">
        <f>(placement_data[[#This Row],[Aptitude_Score]]+placement_data[[#This Row],[Communication_Score]])/2</f>
        <v>80</v>
      </c>
      <c r="L38" t="str">
        <f>IF(placement_data[[#This Row],[Average Score]]&gt;85,"Excellent",IF(placement_data[[#This Row],[Average Score]]&gt;=70,"Good","Average"))</f>
        <v>Good</v>
      </c>
      <c r="M38" t="str">
        <f>IF(AND(placement_data[[#This Row],[CGPA]]&gt;7,placement_data[[#This Row],[Aptitude_Score]]&gt;55),"Eligible","Not Eligible")</f>
        <v>Eligible</v>
      </c>
    </row>
    <row r="39" spans="1:13" x14ac:dyDescent="0.35">
      <c r="A39" t="s">
        <v>57</v>
      </c>
      <c r="B39" t="s">
        <v>15</v>
      </c>
      <c r="C39" t="s">
        <v>18</v>
      </c>
      <c r="D39" s="1">
        <v>7.3</v>
      </c>
      <c r="E39">
        <v>1</v>
      </c>
      <c r="F39">
        <v>67</v>
      </c>
      <c r="G39">
        <v>72</v>
      </c>
      <c r="H39" s="2">
        <v>84</v>
      </c>
      <c r="I39" t="s">
        <v>13</v>
      </c>
      <c r="J39">
        <v>5</v>
      </c>
      <c r="K39">
        <f>(placement_data[[#This Row],[Aptitude_Score]]+placement_data[[#This Row],[Communication_Score]])/2</f>
        <v>69.5</v>
      </c>
      <c r="L39" t="str">
        <f>IF(placement_data[[#This Row],[Average Score]]&gt;85,"Excellent",IF(placement_data[[#This Row],[Average Score]]&gt;=70,"Good","Average"))</f>
        <v>Average</v>
      </c>
      <c r="M39" t="str">
        <f>IF(AND(placement_data[[#This Row],[CGPA]]&gt;7,placement_data[[#This Row],[Aptitude_Score]]&gt;55),"Eligible","Not Eligible")</f>
        <v>Eligible</v>
      </c>
    </row>
    <row r="40" spans="1:13" x14ac:dyDescent="0.35">
      <c r="A40" t="s">
        <v>58</v>
      </c>
      <c r="B40" t="s">
        <v>11</v>
      </c>
      <c r="C40" t="s">
        <v>16</v>
      </c>
      <c r="D40" s="1">
        <v>6.5</v>
      </c>
      <c r="E40">
        <v>0</v>
      </c>
      <c r="F40">
        <v>51</v>
      </c>
      <c r="G40">
        <v>56</v>
      </c>
      <c r="H40" s="2">
        <v>73</v>
      </c>
      <c r="I40" t="s">
        <v>19</v>
      </c>
      <c r="J40">
        <v>0</v>
      </c>
      <c r="K40">
        <f>(placement_data[[#This Row],[Aptitude_Score]]+placement_data[[#This Row],[Communication_Score]])/2</f>
        <v>53.5</v>
      </c>
      <c r="L40" t="str">
        <f>IF(placement_data[[#This Row],[Average Score]]&gt;85,"Excellent",IF(placement_data[[#This Row],[Average Score]]&gt;=70,"Good","Average"))</f>
        <v>Average</v>
      </c>
      <c r="M40" t="str">
        <f>IF(AND(placement_data[[#This Row],[CGPA]]&gt;7,placement_data[[#This Row],[Aptitude_Score]]&gt;55),"Eligible","Not Eligible")</f>
        <v>Not Eligible</v>
      </c>
    </row>
    <row r="41" spans="1:13" x14ac:dyDescent="0.35">
      <c r="A41" t="s">
        <v>59</v>
      </c>
      <c r="B41" t="s">
        <v>15</v>
      </c>
      <c r="C41" t="s">
        <v>12</v>
      </c>
      <c r="D41" s="1">
        <v>8.8000000000000007</v>
      </c>
      <c r="E41">
        <v>3</v>
      </c>
      <c r="F41">
        <v>88</v>
      </c>
      <c r="G41">
        <v>91</v>
      </c>
      <c r="H41" s="2">
        <v>95</v>
      </c>
      <c r="I41" t="s">
        <v>13</v>
      </c>
      <c r="J41">
        <v>12</v>
      </c>
      <c r="K41">
        <f>(placement_data[[#This Row],[Aptitude_Score]]+placement_data[[#This Row],[Communication_Score]])/2</f>
        <v>89.5</v>
      </c>
      <c r="L41" t="str">
        <f>IF(placement_data[[#This Row],[Average Score]]&gt;85,"Excellent",IF(placement_data[[#This Row],[Average Score]]&gt;=70,"Good","Average"))</f>
        <v>Excellent</v>
      </c>
      <c r="M41" t="str">
        <f>IF(AND(placement_data[[#This Row],[CGPA]]&gt;7,placement_data[[#This Row],[Aptitude_Score]]&gt;55),"Eligible","Not Eligible")</f>
        <v>Eligible</v>
      </c>
    </row>
    <row r="42" spans="1:13" x14ac:dyDescent="0.35">
      <c r="A42" t="s">
        <v>60</v>
      </c>
      <c r="B42" t="s">
        <v>11</v>
      </c>
      <c r="C42" t="s">
        <v>24</v>
      </c>
      <c r="D42" s="1">
        <v>7.4</v>
      </c>
      <c r="E42">
        <v>1</v>
      </c>
      <c r="F42">
        <v>66</v>
      </c>
      <c r="G42">
        <v>71</v>
      </c>
      <c r="H42" s="2">
        <v>85</v>
      </c>
      <c r="I42" t="s">
        <v>13</v>
      </c>
      <c r="J42">
        <v>5</v>
      </c>
      <c r="K42">
        <f>(placement_data[[#This Row],[Aptitude_Score]]+placement_data[[#This Row],[Communication_Score]])/2</f>
        <v>68.5</v>
      </c>
      <c r="L42" t="str">
        <f>IF(placement_data[[#This Row],[Average Score]]&gt;85,"Excellent",IF(placement_data[[#This Row],[Average Score]]&gt;=70,"Good","Average"))</f>
        <v>Average</v>
      </c>
      <c r="M42" t="str">
        <f>IF(AND(placement_data[[#This Row],[CGPA]]&gt;7,placement_data[[#This Row],[Aptitude_Score]]&gt;55),"Eligible","Not Eligible")</f>
        <v>Eligible</v>
      </c>
    </row>
    <row r="43" spans="1:13" x14ac:dyDescent="0.35">
      <c r="A43" t="s">
        <v>61</v>
      </c>
      <c r="B43" t="s">
        <v>15</v>
      </c>
      <c r="C43" t="s">
        <v>30</v>
      </c>
      <c r="D43" s="1">
        <v>8.6999999999999993</v>
      </c>
      <c r="E43">
        <v>3</v>
      </c>
      <c r="F43">
        <v>85</v>
      </c>
      <c r="G43">
        <v>89</v>
      </c>
      <c r="H43" s="2">
        <v>94</v>
      </c>
      <c r="I43" t="s">
        <v>13</v>
      </c>
      <c r="J43">
        <v>11</v>
      </c>
      <c r="K43">
        <f>(placement_data[[#This Row],[Aptitude_Score]]+placement_data[[#This Row],[Communication_Score]])/2</f>
        <v>87</v>
      </c>
      <c r="L43" t="str">
        <f>IF(placement_data[[#This Row],[Average Score]]&gt;85,"Excellent",IF(placement_data[[#This Row],[Average Score]]&gt;=70,"Good","Average"))</f>
        <v>Excellent</v>
      </c>
      <c r="M43" t="str">
        <f>IF(AND(placement_data[[#This Row],[CGPA]]&gt;7,placement_data[[#This Row],[Aptitude_Score]]&gt;55),"Eligible","Not Eligible")</f>
        <v>Eligible</v>
      </c>
    </row>
    <row r="44" spans="1:13" x14ac:dyDescent="0.35">
      <c r="A44" t="s">
        <v>62</v>
      </c>
      <c r="B44" t="s">
        <v>11</v>
      </c>
      <c r="C44" t="s">
        <v>12</v>
      </c>
      <c r="D44" s="1">
        <v>9.5</v>
      </c>
      <c r="E44">
        <v>4</v>
      </c>
      <c r="F44">
        <v>96</v>
      </c>
      <c r="G44">
        <v>98</v>
      </c>
      <c r="H44" s="2">
        <v>99</v>
      </c>
      <c r="I44" t="s">
        <v>13</v>
      </c>
      <c r="J44">
        <v>18</v>
      </c>
      <c r="K44">
        <f>(placement_data[[#This Row],[Aptitude_Score]]+placement_data[[#This Row],[Communication_Score]])/2</f>
        <v>97</v>
      </c>
      <c r="L44" t="str">
        <f>IF(placement_data[[#This Row],[Average Score]]&gt;85,"Excellent",IF(placement_data[[#This Row],[Average Score]]&gt;=70,"Good","Average"))</f>
        <v>Excellent</v>
      </c>
      <c r="M44" t="str">
        <f>IF(AND(placement_data[[#This Row],[CGPA]]&gt;7,placement_data[[#This Row],[Aptitude_Score]]&gt;55),"Eligible","Not Eligible")</f>
        <v>Eligible</v>
      </c>
    </row>
    <row r="45" spans="1:13" x14ac:dyDescent="0.35">
      <c r="A45" t="s">
        <v>63</v>
      </c>
      <c r="B45" t="s">
        <v>15</v>
      </c>
      <c r="C45" t="s">
        <v>16</v>
      </c>
      <c r="D45" s="1">
        <v>7.6</v>
      </c>
      <c r="E45">
        <v>1</v>
      </c>
      <c r="F45">
        <v>70</v>
      </c>
      <c r="G45">
        <v>76</v>
      </c>
      <c r="H45" s="2">
        <v>87</v>
      </c>
      <c r="I45" t="s">
        <v>13</v>
      </c>
      <c r="J45">
        <v>6</v>
      </c>
      <c r="K45">
        <f>(placement_data[[#This Row],[Aptitude_Score]]+placement_data[[#This Row],[Communication_Score]])/2</f>
        <v>73</v>
      </c>
      <c r="L45" t="str">
        <f>IF(placement_data[[#This Row],[Average Score]]&gt;85,"Excellent",IF(placement_data[[#This Row],[Average Score]]&gt;=70,"Good","Average"))</f>
        <v>Good</v>
      </c>
      <c r="M45" t="str">
        <f>IF(AND(placement_data[[#This Row],[CGPA]]&gt;7,placement_data[[#This Row],[Aptitude_Score]]&gt;55),"Eligible","Not Eligible")</f>
        <v>Eligible</v>
      </c>
    </row>
    <row r="46" spans="1:13" x14ac:dyDescent="0.35">
      <c r="A46" t="s">
        <v>64</v>
      </c>
      <c r="B46" t="s">
        <v>11</v>
      </c>
      <c r="C46" t="s">
        <v>22</v>
      </c>
      <c r="D46" s="1">
        <v>6.8</v>
      </c>
      <c r="E46">
        <v>0</v>
      </c>
      <c r="F46">
        <v>57</v>
      </c>
      <c r="G46">
        <v>62</v>
      </c>
      <c r="H46" s="2">
        <v>76</v>
      </c>
      <c r="I46" t="s">
        <v>19</v>
      </c>
      <c r="J46">
        <v>0</v>
      </c>
      <c r="K46">
        <f>(placement_data[[#This Row],[Aptitude_Score]]+placement_data[[#This Row],[Communication_Score]])/2</f>
        <v>59.5</v>
      </c>
      <c r="L46" t="str">
        <f>IF(placement_data[[#This Row],[Average Score]]&gt;85,"Excellent",IF(placement_data[[#This Row],[Average Score]]&gt;=70,"Good","Average"))</f>
        <v>Average</v>
      </c>
      <c r="M46" t="str">
        <f>IF(AND(placement_data[[#This Row],[CGPA]]&gt;7,placement_data[[#This Row],[Aptitude_Score]]&gt;55),"Eligible","Not Eligible")</f>
        <v>Not Eligible</v>
      </c>
    </row>
    <row r="47" spans="1:13" x14ac:dyDescent="0.35">
      <c r="A47" t="s">
        <v>65</v>
      </c>
      <c r="B47" t="s">
        <v>15</v>
      </c>
      <c r="C47" t="s">
        <v>12</v>
      </c>
      <c r="D47" s="1">
        <v>8.9</v>
      </c>
      <c r="E47">
        <v>3</v>
      </c>
      <c r="F47">
        <v>89</v>
      </c>
      <c r="G47">
        <v>93</v>
      </c>
      <c r="H47" s="2">
        <v>96</v>
      </c>
      <c r="I47" t="s">
        <v>13</v>
      </c>
      <c r="J47">
        <v>13</v>
      </c>
      <c r="K47">
        <f>(placement_data[[#This Row],[Aptitude_Score]]+placement_data[[#This Row],[Communication_Score]])/2</f>
        <v>91</v>
      </c>
      <c r="L47" t="str">
        <f>IF(placement_data[[#This Row],[Average Score]]&gt;85,"Excellent",IF(placement_data[[#This Row],[Average Score]]&gt;=70,"Good","Average"))</f>
        <v>Excellent</v>
      </c>
      <c r="M47" t="str">
        <f>IF(AND(placement_data[[#This Row],[CGPA]]&gt;7,placement_data[[#This Row],[Aptitude_Score]]&gt;55),"Eligible","Not Eligible")</f>
        <v>Eligible</v>
      </c>
    </row>
    <row r="48" spans="1:13" x14ac:dyDescent="0.35">
      <c r="A48" t="s">
        <v>66</v>
      </c>
      <c r="B48" t="s">
        <v>11</v>
      </c>
      <c r="C48" t="s">
        <v>30</v>
      </c>
      <c r="D48" s="1">
        <v>8</v>
      </c>
      <c r="E48">
        <v>2</v>
      </c>
      <c r="F48">
        <v>74</v>
      </c>
      <c r="G48">
        <v>79</v>
      </c>
      <c r="H48" s="2">
        <v>88</v>
      </c>
      <c r="I48" t="s">
        <v>13</v>
      </c>
      <c r="J48">
        <v>7</v>
      </c>
      <c r="K48">
        <f>(placement_data[[#This Row],[Aptitude_Score]]+placement_data[[#This Row],[Communication_Score]])/2</f>
        <v>76.5</v>
      </c>
      <c r="L48" t="str">
        <f>IF(placement_data[[#This Row],[Average Score]]&gt;85,"Excellent",IF(placement_data[[#This Row],[Average Score]]&gt;=70,"Good","Average"))</f>
        <v>Good</v>
      </c>
      <c r="M48" t="str">
        <f>IF(AND(placement_data[[#This Row],[CGPA]]&gt;7,placement_data[[#This Row],[Aptitude_Score]]&gt;55),"Eligible","Not Eligible")</f>
        <v>Eligible</v>
      </c>
    </row>
    <row r="49" spans="1:13" x14ac:dyDescent="0.35">
      <c r="A49" t="s">
        <v>67</v>
      </c>
      <c r="B49" t="s">
        <v>15</v>
      </c>
      <c r="C49" t="s">
        <v>18</v>
      </c>
      <c r="D49" s="1">
        <v>7.1</v>
      </c>
      <c r="E49">
        <v>1</v>
      </c>
      <c r="F49">
        <v>63</v>
      </c>
      <c r="G49">
        <v>68</v>
      </c>
      <c r="H49" s="2">
        <v>82</v>
      </c>
      <c r="I49" t="s">
        <v>19</v>
      </c>
      <c r="J49">
        <v>0</v>
      </c>
      <c r="K49">
        <f>(placement_data[[#This Row],[Aptitude_Score]]+placement_data[[#This Row],[Communication_Score]])/2</f>
        <v>65.5</v>
      </c>
      <c r="L49" t="str">
        <f>IF(placement_data[[#This Row],[Average Score]]&gt;85,"Excellent",IF(placement_data[[#This Row],[Average Score]]&gt;=70,"Good","Average"))</f>
        <v>Average</v>
      </c>
      <c r="M49" t="str">
        <f>IF(AND(placement_data[[#This Row],[CGPA]]&gt;7,placement_data[[#This Row],[Aptitude_Score]]&gt;55),"Eligible","Not Eligible")</f>
        <v>Eligible</v>
      </c>
    </row>
    <row r="50" spans="1:13" x14ac:dyDescent="0.35">
      <c r="A50" t="s">
        <v>68</v>
      </c>
      <c r="B50" t="s">
        <v>11</v>
      </c>
      <c r="C50" t="s">
        <v>16</v>
      </c>
      <c r="D50" s="1">
        <v>6.7</v>
      </c>
      <c r="E50">
        <v>0</v>
      </c>
      <c r="F50">
        <v>55</v>
      </c>
      <c r="G50">
        <v>60</v>
      </c>
      <c r="H50" s="2">
        <v>75</v>
      </c>
      <c r="I50" t="s">
        <v>19</v>
      </c>
      <c r="J50">
        <v>0</v>
      </c>
      <c r="K50">
        <f>(placement_data[[#This Row],[Aptitude_Score]]+placement_data[[#This Row],[Communication_Score]])/2</f>
        <v>57.5</v>
      </c>
      <c r="L50" t="str">
        <f>IF(placement_data[[#This Row],[Average Score]]&gt;85,"Excellent",IF(placement_data[[#This Row],[Average Score]]&gt;=70,"Good","Average"))</f>
        <v>Average</v>
      </c>
      <c r="M50" t="str">
        <f>IF(AND(placement_data[[#This Row],[CGPA]]&gt;7,placement_data[[#This Row],[Aptitude_Score]]&gt;55),"Eligible","Not Eligible")</f>
        <v>Not Eligible</v>
      </c>
    </row>
    <row r="51" spans="1:13" x14ac:dyDescent="0.35">
      <c r="A51" t="s">
        <v>69</v>
      </c>
      <c r="B51" t="s">
        <v>15</v>
      </c>
      <c r="C51" t="s">
        <v>12</v>
      </c>
      <c r="D51" s="1">
        <v>9</v>
      </c>
      <c r="E51">
        <v>4</v>
      </c>
      <c r="F51">
        <v>92</v>
      </c>
      <c r="G51">
        <v>96</v>
      </c>
      <c r="H51" s="2">
        <v>98</v>
      </c>
      <c r="I51" t="s">
        <v>13</v>
      </c>
      <c r="J51">
        <v>15</v>
      </c>
      <c r="K51">
        <f>(placement_data[[#This Row],[Aptitude_Score]]+placement_data[[#This Row],[Communication_Score]])/2</f>
        <v>94</v>
      </c>
      <c r="L51" t="str">
        <f>IF(placement_data[[#This Row],[Average Score]]&gt;85,"Excellent",IF(placement_data[[#This Row],[Average Score]]&gt;=70,"Good","Average"))</f>
        <v>Excellent</v>
      </c>
      <c r="M51" t="str">
        <f>IF(AND(placement_data[[#This Row],[CGPA]]&gt;7,placement_data[[#This Row],[Aptitude_Score]]&gt;55),"Eligible","Not Eligible")</f>
        <v>Eligible</v>
      </c>
    </row>
    <row r="52" spans="1:13" x14ac:dyDescent="0.35">
      <c r="A52" t="s">
        <v>70</v>
      </c>
      <c r="B52" t="s">
        <v>11</v>
      </c>
      <c r="C52" t="s">
        <v>30</v>
      </c>
      <c r="D52" s="1">
        <v>8.3000000000000007</v>
      </c>
      <c r="E52">
        <v>2</v>
      </c>
      <c r="F52">
        <v>81</v>
      </c>
      <c r="G52">
        <v>84</v>
      </c>
      <c r="H52" s="2">
        <v>91</v>
      </c>
      <c r="I52" t="s">
        <v>13</v>
      </c>
      <c r="J52">
        <v>9</v>
      </c>
      <c r="K52">
        <f>(placement_data[[#This Row],[Aptitude_Score]]+placement_data[[#This Row],[Communication_Score]])/2</f>
        <v>82.5</v>
      </c>
      <c r="L52" t="str">
        <f>IF(placement_data[[#This Row],[Average Score]]&gt;85,"Excellent",IF(placement_data[[#This Row],[Average Score]]&gt;=70,"Good","Average"))</f>
        <v>Good</v>
      </c>
      <c r="M52" t="str">
        <f>IF(AND(placement_data[[#This Row],[CGPA]]&gt;7,placement_data[[#This Row],[Aptitude_Score]]&gt;55),"Eligible","Not Eligible")</f>
        <v>Eligible</v>
      </c>
    </row>
    <row r="53" spans="1:13" x14ac:dyDescent="0.35">
      <c r="A53" t="s">
        <v>71</v>
      </c>
      <c r="B53" t="s">
        <v>15</v>
      </c>
      <c r="C53" t="s">
        <v>24</v>
      </c>
      <c r="D53" s="1">
        <v>7.2</v>
      </c>
      <c r="E53">
        <v>1</v>
      </c>
      <c r="F53">
        <v>64</v>
      </c>
      <c r="G53">
        <v>70</v>
      </c>
      <c r="H53" s="2">
        <v>83</v>
      </c>
      <c r="I53" t="s">
        <v>13</v>
      </c>
      <c r="J53">
        <v>4</v>
      </c>
      <c r="K53">
        <f>(placement_data[[#This Row],[Aptitude_Score]]+placement_data[[#This Row],[Communication_Score]])/2</f>
        <v>67</v>
      </c>
      <c r="L53" t="str">
        <f>IF(placement_data[[#This Row],[Average Score]]&gt;85,"Excellent",IF(placement_data[[#This Row],[Average Score]]&gt;=70,"Good","Average"))</f>
        <v>Average</v>
      </c>
      <c r="M53" t="str">
        <f>IF(AND(placement_data[[#This Row],[CGPA]]&gt;7,placement_data[[#This Row],[Aptitude_Score]]&gt;55),"Eligible","Not Eligible")</f>
        <v>Eligible</v>
      </c>
    </row>
    <row r="54" spans="1:13" x14ac:dyDescent="0.35">
      <c r="A54" t="s">
        <v>72</v>
      </c>
      <c r="B54" t="s">
        <v>11</v>
      </c>
      <c r="C54" t="s">
        <v>12</v>
      </c>
      <c r="D54" s="1">
        <v>9.1</v>
      </c>
      <c r="E54">
        <v>3</v>
      </c>
      <c r="F54">
        <v>90</v>
      </c>
      <c r="G54">
        <v>94</v>
      </c>
      <c r="H54" s="2">
        <v>97</v>
      </c>
      <c r="I54" t="s">
        <v>13</v>
      </c>
      <c r="J54">
        <v>14</v>
      </c>
      <c r="K54">
        <f>(placement_data[[#This Row],[Aptitude_Score]]+placement_data[[#This Row],[Communication_Score]])/2</f>
        <v>92</v>
      </c>
      <c r="L54" t="str">
        <f>IF(placement_data[[#This Row],[Average Score]]&gt;85,"Excellent",IF(placement_data[[#This Row],[Average Score]]&gt;=70,"Good","Average"))</f>
        <v>Excellent</v>
      </c>
      <c r="M54" t="str">
        <f>IF(AND(placement_data[[#This Row],[CGPA]]&gt;7,placement_data[[#This Row],[Aptitude_Score]]&gt;55),"Eligible","Not Eligible")</f>
        <v>Eligible</v>
      </c>
    </row>
    <row r="55" spans="1:13" x14ac:dyDescent="0.35">
      <c r="A55" t="s">
        <v>73</v>
      </c>
      <c r="B55" t="s">
        <v>15</v>
      </c>
      <c r="C55" t="s">
        <v>16</v>
      </c>
      <c r="D55" s="1">
        <v>8.1</v>
      </c>
      <c r="E55">
        <v>2</v>
      </c>
      <c r="F55">
        <v>76</v>
      </c>
      <c r="G55">
        <v>82</v>
      </c>
      <c r="H55" s="2">
        <v>90</v>
      </c>
      <c r="I55" t="s">
        <v>13</v>
      </c>
      <c r="J55">
        <v>7</v>
      </c>
      <c r="K55">
        <f>(placement_data[[#This Row],[Aptitude_Score]]+placement_data[[#This Row],[Communication_Score]])/2</f>
        <v>79</v>
      </c>
      <c r="L55" t="str">
        <f>IF(placement_data[[#This Row],[Average Score]]&gt;85,"Excellent",IF(placement_data[[#This Row],[Average Score]]&gt;=70,"Good","Average"))</f>
        <v>Good</v>
      </c>
      <c r="M55" t="str">
        <f>IF(AND(placement_data[[#This Row],[CGPA]]&gt;7,placement_data[[#This Row],[Aptitude_Score]]&gt;55),"Eligible","Not Eligible")</f>
        <v>Eligible</v>
      </c>
    </row>
    <row r="56" spans="1:13" x14ac:dyDescent="0.35">
      <c r="A56" t="s">
        <v>74</v>
      </c>
      <c r="B56" t="s">
        <v>11</v>
      </c>
      <c r="C56" t="s">
        <v>22</v>
      </c>
      <c r="D56" s="1">
        <v>6.9</v>
      </c>
      <c r="E56">
        <v>0</v>
      </c>
      <c r="F56">
        <v>58</v>
      </c>
      <c r="G56">
        <v>63</v>
      </c>
      <c r="H56" s="2">
        <v>78</v>
      </c>
      <c r="I56" t="s">
        <v>19</v>
      </c>
      <c r="J56">
        <v>0</v>
      </c>
      <c r="K56">
        <f>(placement_data[[#This Row],[Aptitude_Score]]+placement_data[[#This Row],[Communication_Score]])/2</f>
        <v>60.5</v>
      </c>
      <c r="L56" t="str">
        <f>IF(placement_data[[#This Row],[Average Score]]&gt;85,"Excellent",IF(placement_data[[#This Row],[Average Score]]&gt;=70,"Good","Average"))</f>
        <v>Average</v>
      </c>
      <c r="M56" t="str">
        <f>IF(AND(placement_data[[#This Row],[CGPA]]&gt;7,placement_data[[#This Row],[Aptitude_Score]]&gt;55),"Eligible","Not Eligible")</f>
        <v>Not Eligible</v>
      </c>
    </row>
    <row r="57" spans="1:13" x14ac:dyDescent="0.35">
      <c r="A57" t="s">
        <v>75</v>
      </c>
      <c r="B57" t="s">
        <v>15</v>
      </c>
      <c r="C57" t="s">
        <v>30</v>
      </c>
      <c r="D57" s="1">
        <v>8.6</v>
      </c>
      <c r="E57">
        <v>3</v>
      </c>
      <c r="F57">
        <v>84</v>
      </c>
      <c r="G57">
        <v>88</v>
      </c>
      <c r="H57" s="2">
        <v>93</v>
      </c>
      <c r="I57" t="s">
        <v>13</v>
      </c>
      <c r="J57">
        <v>10</v>
      </c>
      <c r="K57">
        <f>(placement_data[[#This Row],[Aptitude_Score]]+placement_data[[#This Row],[Communication_Score]])/2</f>
        <v>86</v>
      </c>
      <c r="L57" t="str">
        <f>IF(placement_data[[#This Row],[Average Score]]&gt;85,"Excellent",IF(placement_data[[#This Row],[Average Score]]&gt;=70,"Good","Average"))</f>
        <v>Excellent</v>
      </c>
      <c r="M57" t="str">
        <f>IF(AND(placement_data[[#This Row],[CGPA]]&gt;7,placement_data[[#This Row],[Aptitude_Score]]&gt;55),"Eligible","Not Eligible")</f>
        <v>Eligible</v>
      </c>
    </row>
    <row r="58" spans="1:13" x14ac:dyDescent="0.35">
      <c r="A58" t="s">
        <v>76</v>
      </c>
      <c r="B58" t="s">
        <v>11</v>
      </c>
      <c r="C58" t="s">
        <v>12</v>
      </c>
      <c r="D58" s="1">
        <v>9.4</v>
      </c>
      <c r="E58">
        <v>4</v>
      </c>
      <c r="F58">
        <v>95</v>
      </c>
      <c r="G58">
        <v>97</v>
      </c>
      <c r="H58" s="2">
        <v>99</v>
      </c>
      <c r="I58" t="s">
        <v>13</v>
      </c>
      <c r="J58">
        <v>17</v>
      </c>
      <c r="K58">
        <f>(placement_data[[#This Row],[Aptitude_Score]]+placement_data[[#This Row],[Communication_Score]])/2</f>
        <v>96</v>
      </c>
      <c r="L58" t="str">
        <f>IF(placement_data[[#This Row],[Average Score]]&gt;85,"Excellent",IF(placement_data[[#This Row],[Average Score]]&gt;=70,"Good","Average"))</f>
        <v>Excellent</v>
      </c>
      <c r="M58" t="str">
        <f>IF(AND(placement_data[[#This Row],[CGPA]]&gt;7,placement_data[[#This Row],[Aptitude_Score]]&gt;55),"Eligible","Not Eligible")</f>
        <v>Eligible</v>
      </c>
    </row>
    <row r="59" spans="1:13" x14ac:dyDescent="0.35">
      <c r="A59" t="s">
        <v>77</v>
      </c>
      <c r="B59" t="s">
        <v>15</v>
      </c>
      <c r="C59" t="s">
        <v>18</v>
      </c>
      <c r="D59" s="1">
        <v>7.5</v>
      </c>
      <c r="E59">
        <v>1</v>
      </c>
      <c r="F59">
        <v>69</v>
      </c>
      <c r="G59">
        <v>74</v>
      </c>
      <c r="H59" s="2">
        <v>86</v>
      </c>
      <c r="I59" t="s">
        <v>13</v>
      </c>
      <c r="J59">
        <v>5</v>
      </c>
      <c r="K59">
        <f>(placement_data[[#This Row],[Aptitude_Score]]+placement_data[[#This Row],[Communication_Score]])/2</f>
        <v>71.5</v>
      </c>
      <c r="L59" t="str">
        <f>IF(placement_data[[#This Row],[Average Score]]&gt;85,"Excellent",IF(placement_data[[#This Row],[Average Score]]&gt;=70,"Good","Average"))</f>
        <v>Good</v>
      </c>
      <c r="M59" t="str">
        <f>IF(AND(placement_data[[#This Row],[CGPA]]&gt;7,placement_data[[#This Row],[Aptitude_Score]]&gt;55),"Eligible","Not Eligible")</f>
        <v>Eligible</v>
      </c>
    </row>
    <row r="60" spans="1:13" x14ac:dyDescent="0.35">
      <c r="A60" t="s">
        <v>78</v>
      </c>
      <c r="B60" t="s">
        <v>11</v>
      </c>
      <c r="C60" t="s">
        <v>16</v>
      </c>
      <c r="D60" s="1">
        <v>6.6</v>
      </c>
      <c r="E60">
        <v>0</v>
      </c>
      <c r="F60">
        <v>53</v>
      </c>
      <c r="G60">
        <v>58</v>
      </c>
      <c r="H60" s="2">
        <v>74</v>
      </c>
      <c r="I60" t="s">
        <v>19</v>
      </c>
      <c r="J60">
        <v>0</v>
      </c>
      <c r="K60">
        <f>(placement_data[[#This Row],[Aptitude_Score]]+placement_data[[#This Row],[Communication_Score]])/2</f>
        <v>55.5</v>
      </c>
      <c r="L60" t="str">
        <f>IF(placement_data[[#This Row],[Average Score]]&gt;85,"Excellent",IF(placement_data[[#This Row],[Average Score]]&gt;=70,"Good","Average"))</f>
        <v>Average</v>
      </c>
      <c r="M60" t="str">
        <f>IF(AND(placement_data[[#This Row],[CGPA]]&gt;7,placement_data[[#This Row],[Aptitude_Score]]&gt;55),"Eligible","Not Eligible")</f>
        <v>Not Eligible</v>
      </c>
    </row>
    <row r="61" spans="1:13" x14ac:dyDescent="0.35">
      <c r="A61" t="s">
        <v>79</v>
      </c>
      <c r="B61" t="s">
        <v>15</v>
      </c>
      <c r="C61" t="s">
        <v>12</v>
      </c>
      <c r="D61" s="1">
        <v>8.6999999999999993</v>
      </c>
      <c r="E61">
        <v>3</v>
      </c>
      <c r="F61">
        <v>86</v>
      </c>
      <c r="G61">
        <v>90</v>
      </c>
      <c r="H61" s="2">
        <v>94</v>
      </c>
      <c r="I61" t="s">
        <v>13</v>
      </c>
      <c r="J61">
        <v>11</v>
      </c>
      <c r="K61">
        <f>(placement_data[[#This Row],[Aptitude_Score]]+placement_data[[#This Row],[Communication_Score]])/2</f>
        <v>88</v>
      </c>
      <c r="L61" t="str">
        <f>IF(placement_data[[#This Row],[Average Score]]&gt;85,"Excellent",IF(placement_data[[#This Row],[Average Score]]&gt;=70,"Good","Average"))</f>
        <v>Excellent</v>
      </c>
      <c r="M61" t="str">
        <f>IF(AND(placement_data[[#This Row],[CGPA]]&gt;7,placement_data[[#This Row],[Aptitude_Score]]&gt;55),"Eligible","Not Eligible")</f>
        <v>Eligible</v>
      </c>
    </row>
    <row r="62" spans="1:13" x14ac:dyDescent="0.35">
      <c r="A62" t="s">
        <v>80</v>
      </c>
      <c r="B62" t="s">
        <v>11</v>
      </c>
      <c r="C62" t="s">
        <v>30</v>
      </c>
      <c r="D62" s="1">
        <v>8.1</v>
      </c>
      <c r="E62">
        <v>2</v>
      </c>
      <c r="F62">
        <v>77</v>
      </c>
      <c r="G62">
        <v>81</v>
      </c>
      <c r="H62" s="2">
        <v>89</v>
      </c>
      <c r="I62" t="s">
        <v>13</v>
      </c>
      <c r="J62">
        <v>8</v>
      </c>
      <c r="K62">
        <f>(placement_data[[#This Row],[Aptitude_Score]]+placement_data[[#This Row],[Communication_Score]])/2</f>
        <v>79</v>
      </c>
      <c r="L62" t="str">
        <f>IF(placement_data[[#This Row],[Average Score]]&gt;85,"Excellent",IF(placement_data[[#This Row],[Average Score]]&gt;=70,"Good","Average"))</f>
        <v>Good</v>
      </c>
      <c r="M62" t="str">
        <f>IF(AND(placement_data[[#This Row],[CGPA]]&gt;7,placement_data[[#This Row],[Aptitude_Score]]&gt;55),"Eligible","Not Eligible")</f>
        <v>Eligible</v>
      </c>
    </row>
    <row r="63" spans="1:13" x14ac:dyDescent="0.35">
      <c r="A63" t="s">
        <v>81</v>
      </c>
      <c r="B63" t="s">
        <v>15</v>
      </c>
      <c r="C63" t="s">
        <v>24</v>
      </c>
      <c r="D63" s="1">
        <v>7</v>
      </c>
      <c r="E63">
        <v>1</v>
      </c>
      <c r="F63">
        <v>62</v>
      </c>
      <c r="G63">
        <v>67</v>
      </c>
      <c r="H63" s="2">
        <v>80</v>
      </c>
      <c r="I63" t="s">
        <v>19</v>
      </c>
      <c r="J63">
        <v>0</v>
      </c>
      <c r="K63">
        <f>(placement_data[[#This Row],[Aptitude_Score]]+placement_data[[#This Row],[Communication_Score]])/2</f>
        <v>64.5</v>
      </c>
      <c r="L63" t="str">
        <f>IF(placement_data[[#This Row],[Average Score]]&gt;85,"Excellent",IF(placement_data[[#This Row],[Average Score]]&gt;=70,"Good","Average"))</f>
        <v>Average</v>
      </c>
      <c r="M63" t="str">
        <f>IF(AND(placement_data[[#This Row],[CGPA]]&gt;7,placement_data[[#This Row],[Aptitude_Score]]&gt;55),"Eligible","Not Eligible")</f>
        <v>Not Eligible</v>
      </c>
    </row>
    <row r="64" spans="1:13" x14ac:dyDescent="0.35">
      <c r="A64" t="s">
        <v>82</v>
      </c>
      <c r="B64" t="s">
        <v>11</v>
      </c>
      <c r="C64" t="s">
        <v>12</v>
      </c>
      <c r="D64" s="1">
        <v>9.1999999999999993</v>
      </c>
      <c r="E64">
        <v>4</v>
      </c>
      <c r="F64">
        <v>93</v>
      </c>
      <c r="G64">
        <v>96</v>
      </c>
      <c r="H64" s="2">
        <v>98</v>
      </c>
      <c r="I64" t="s">
        <v>13</v>
      </c>
      <c r="J64">
        <v>16</v>
      </c>
      <c r="K64">
        <f>(placement_data[[#This Row],[Aptitude_Score]]+placement_data[[#This Row],[Communication_Score]])/2</f>
        <v>94.5</v>
      </c>
      <c r="L64" t="str">
        <f>IF(placement_data[[#This Row],[Average Score]]&gt;85,"Excellent",IF(placement_data[[#This Row],[Average Score]]&gt;=70,"Good","Average"))</f>
        <v>Excellent</v>
      </c>
      <c r="M64" t="str">
        <f>IF(AND(placement_data[[#This Row],[CGPA]]&gt;7,placement_data[[#This Row],[Aptitude_Score]]&gt;55),"Eligible","Not Eligible")</f>
        <v>Eligible</v>
      </c>
    </row>
    <row r="65" spans="1:13" x14ac:dyDescent="0.35">
      <c r="A65" t="s">
        <v>83</v>
      </c>
      <c r="B65" t="s">
        <v>15</v>
      </c>
      <c r="C65" t="s">
        <v>16</v>
      </c>
      <c r="D65" s="1">
        <v>8.1999999999999993</v>
      </c>
      <c r="E65">
        <v>2</v>
      </c>
      <c r="F65">
        <v>78</v>
      </c>
      <c r="G65">
        <v>83</v>
      </c>
      <c r="H65" s="2">
        <v>91</v>
      </c>
      <c r="I65" t="s">
        <v>13</v>
      </c>
      <c r="J65">
        <v>8</v>
      </c>
      <c r="K65">
        <f>(placement_data[[#This Row],[Aptitude_Score]]+placement_data[[#This Row],[Communication_Score]])/2</f>
        <v>80.5</v>
      </c>
      <c r="L65" t="str">
        <f>IF(placement_data[[#This Row],[Average Score]]&gt;85,"Excellent",IF(placement_data[[#This Row],[Average Score]]&gt;=70,"Good","Average"))</f>
        <v>Good</v>
      </c>
      <c r="M65" t="str">
        <f>IF(AND(placement_data[[#This Row],[CGPA]]&gt;7,placement_data[[#This Row],[Aptitude_Score]]&gt;55),"Eligible","Not Eligible")</f>
        <v>Eligible</v>
      </c>
    </row>
    <row r="66" spans="1:13" x14ac:dyDescent="0.35">
      <c r="A66" t="s">
        <v>84</v>
      </c>
      <c r="B66" t="s">
        <v>11</v>
      </c>
      <c r="C66" t="s">
        <v>22</v>
      </c>
      <c r="D66" s="1">
        <v>6.7</v>
      </c>
      <c r="E66">
        <v>0</v>
      </c>
      <c r="F66">
        <v>56</v>
      </c>
      <c r="G66">
        <v>61</v>
      </c>
      <c r="H66" s="2">
        <v>77</v>
      </c>
      <c r="I66" t="s">
        <v>19</v>
      </c>
      <c r="J66">
        <v>0</v>
      </c>
      <c r="K66">
        <f>(placement_data[[#This Row],[Aptitude_Score]]+placement_data[[#This Row],[Communication_Score]])/2</f>
        <v>58.5</v>
      </c>
      <c r="L66" t="str">
        <f>IF(placement_data[[#This Row],[Average Score]]&gt;85,"Excellent",IF(placement_data[[#This Row],[Average Score]]&gt;=70,"Good","Average"))</f>
        <v>Average</v>
      </c>
      <c r="M66" t="str">
        <f>IF(AND(placement_data[[#This Row],[CGPA]]&gt;7,placement_data[[#This Row],[Aptitude_Score]]&gt;55),"Eligible","Not Eligible")</f>
        <v>Not Eligible</v>
      </c>
    </row>
    <row r="67" spans="1:13" x14ac:dyDescent="0.35">
      <c r="A67" t="s">
        <v>85</v>
      </c>
      <c r="B67" t="s">
        <v>15</v>
      </c>
      <c r="C67" t="s">
        <v>30</v>
      </c>
      <c r="D67" s="1">
        <v>8.5</v>
      </c>
      <c r="E67">
        <v>3</v>
      </c>
      <c r="F67">
        <v>83</v>
      </c>
      <c r="G67">
        <v>87</v>
      </c>
      <c r="H67" s="2">
        <v>92</v>
      </c>
      <c r="I67" t="s">
        <v>13</v>
      </c>
      <c r="J67">
        <v>10</v>
      </c>
      <c r="K67">
        <f>(placement_data[[#This Row],[Aptitude_Score]]+placement_data[[#This Row],[Communication_Score]])/2</f>
        <v>85</v>
      </c>
      <c r="L67" t="str">
        <f>IF(placement_data[[#This Row],[Average Score]]&gt;85,"Excellent",IF(placement_data[[#This Row],[Average Score]]&gt;=70,"Good","Average"))</f>
        <v>Good</v>
      </c>
      <c r="M67" t="str">
        <f>IF(AND(placement_data[[#This Row],[CGPA]]&gt;7,placement_data[[#This Row],[Aptitude_Score]]&gt;55),"Eligible","Not Eligible")</f>
        <v>Eligible</v>
      </c>
    </row>
    <row r="68" spans="1:13" x14ac:dyDescent="0.35">
      <c r="A68" t="s">
        <v>86</v>
      </c>
      <c r="B68" t="s">
        <v>11</v>
      </c>
      <c r="C68" t="s">
        <v>12</v>
      </c>
      <c r="D68" s="1">
        <v>9.3000000000000007</v>
      </c>
      <c r="E68">
        <v>4</v>
      </c>
      <c r="F68">
        <v>94</v>
      </c>
      <c r="G68">
        <v>98</v>
      </c>
      <c r="H68" s="2">
        <v>99</v>
      </c>
      <c r="I68" t="s">
        <v>13</v>
      </c>
      <c r="J68">
        <v>18</v>
      </c>
      <c r="K68">
        <f>(placement_data[[#This Row],[Aptitude_Score]]+placement_data[[#This Row],[Communication_Score]])/2</f>
        <v>96</v>
      </c>
      <c r="L68" t="str">
        <f>IF(placement_data[[#This Row],[Average Score]]&gt;85,"Excellent",IF(placement_data[[#This Row],[Average Score]]&gt;=70,"Good","Average"))</f>
        <v>Excellent</v>
      </c>
      <c r="M68" t="str">
        <f>IF(AND(placement_data[[#This Row],[CGPA]]&gt;7,placement_data[[#This Row],[Aptitude_Score]]&gt;55),"Eligible","Not Eligible")</f>
        <v>Eligible</v>
      </c>
    </row>
    <row r="69" spans="1:13" x14ac:dyDescent="0.35">
      <c r="A69" t="s">
        <v>87</v>
      </c>
      <c r="B69" t="s">
        <v>15</v>
      </c>
      <c r="C69" t="s">
        <v>18</v>
      </c>
      <c r="D69" s="1">
        <v>7.4</v>
      </c>
      <c r="E69">
        <v>1</v>
      </c>
      <c r="F69">
        <v>68</v>
      </c>
      <c r="G69">
        <v>73</v>
      </c>
      <c r="H69" s="2">
        <v>85</v>
      </c>
      <c r="I69" t="s">
        <v>13</v>
      </c>
      <c r="J69">
        <v>5</v>
      </c>
      <c r="K69">
        <f>(placement_data[[#This Row],[Aptitude_Score]]+placement_data[[#This Row],[Communication_Score]])/2</f>
        <v>70.5</v>
      </c>
      <c r="L69" t="str">
        <f>IF(placement_data[[#This Row],[Average Score]]&gt;85,"Excellent",IF(placement_data[[#This Row],[Average Score]]&gt;=70,"Good","Average"))</f>
        <v>Good</v>
      </c>
      <c r="M69" t="str">
        <f>IF(AND(placement_data[[#This Row],[CGPA]]&gt;7,placement_data[[#This Row],[Aptitude_Score]]&gt;55),"Eligible","Not Eligible")</f>
        <v>Eligible</v>
      </c>
    </row>
    <row r="70" spans="1:13" x14ac:dyDescent="0.35">
      <c r="A70" t="s">
        <v>88</v>
      </c>
      <c r="B70" t="s">
        <v>11</v>
      </c>
      <c r="C70" t="s">
        <v>16</v>
      </c>
      <c r="D70" s="1">
        <v>6.8</v>
      </c>
      <c r="E70">
        <v>0</v>
      </c>
      <c r="F70">
        <v>54</v>
      </c>
      <c r="G70">
        <v>59</v>
      </c>
      <c r="H70" s="2">
        <v>76</v>
      </c>
      <c r="I70" t="s">
        <v>19</v>
      </c>
      <c r="J70">
        <v>0</v>
      </c>
      <c r="K70">
        <f>(placement_data[[#This Row],[Aptitude_Score]]+placement_data[[#This Row],[Communication_Score]])/2</f>
        <v>56.5</v>
      </c>
      <c r="L70" t="str">
        <f>IF(placement_data[[#This Row],[Average Score]]&gt;85,"Excellent",IF(placement_data[[#This Row],[Average Score]]&gt;=70,"Good","Average"))</f>
        <v>Average</v>
      </c>
      <c r="M70" t="str">
        <f>IF(AND(placement_data[[#This Row],[CGPA]]&gt;7,placement_data[[#This Row],[Aptitude_Score]]&gt;55),"Eligible","Not Eligible")</f>
        <v>Not Eligible</v>
      </c>
    </row>
    <row r="71" spans="1:13" x14ac:dyDescent="0.35">
      <c r="A71" t="s">
        <v>89</v>
      </c>
      <c r="B71" t="s">
        <v>15</v>
      </c>
      <c r="C71" t="s">
        <v>12</v>
      </c>
      <c r="D71" s="1">
        <v>8.9</v>
      </c>
      <c r="E71">
        <v>3</v>
      </c>
      <c r="F71">
        <v>89</v>
      </c>
      <c r="G71">
        <v>92</v>
      </c>
      <c r="H71" s="2">
        <v>96</v>
      </c>
      <c r="I71" t="s">
        <v>13</v>
      </c>
      <c r="J71">
        <v>13</v>
      </c>
      <c r="K71">
        <f>(placement_data[[#This Row],[Aptitude_Score]]+placement_data[[#This Row],[Communication_Score]])/2</f>
        <v>90.5</v>
      </c>
      <c r="L71" t="str">
        <f>IF(placement_data[[#This Row],[Average Score]]&gt;85,"Excellent",IF(placement_data[[#This Row],[Average Score]]&gt;=70,"Good","Average"))</f>
        <v>Excellent</v>
      </c>
      <c r="M71" t="str">
        <f>IF(AND(placement_data[[#This Row],[CGPA]]&gt;7,placement_data[[#This Row],[Aptitude_Score]]&gt;55),"Eligible","Not Eligible")</f>
        <v>Eligible</v>
      </c>
    </row>
    <row r="72" spans="1:13" x14ac:dyDescent="0.35">
      <c r="A72" t="s">
        <v>90</v>
      </c>
      <c r="B72" t="s">
        <v>11</v>
      </c>
      <c r="C72" t="s">
        <v>30</v>
      </c>
      <c r="D72" s="1">
        <v>8.1999999999999993</v>
      </c>
      <c r="E72">
        <v>2</v>
      </c>
      <c r="F72">
        <v>79</v>
      </c>
      <c r="G72">
        <v>83</v>
      </c>
      <c r="H72" s="2">
        <v>90</v>
      </c>
      <c r="I72" t="s">
        <v>13</v>
      </c>
      <c r="J72">
        <v>8</v>
      </c>
      <c r="K72">
        <f>(placement_data[[#This Row],[Aptitude_Score]]+placement_data[[#This Row],[Communication_Score]])/2</f>
        <v>81</v>
      </c>
      <c r="L72" t="str">
        <f>IF(placement_data[[#This Row],[Average Score]]&gt;85,"Excellent",IF(placement_data[[#This Row],[Average Score]]&gt;=70,"Good","Average"))</f>
        <v>Good</v>
      </c>
      <c r="M72" t="str">
        <f>IF(AND(placement_data[[#This Row],[CGPA]]&gt;7,placement_data[[#This Row],[Aptitude_Score]]&gt;55),"Eligible","Not Eligible")</f>
        <v>Eligible</v>
      </c>
    </row>
    <row r="73" spans="1:13" x14ac:dyDescent="0.35">
      <c r="A73" t="s">
        <v>91</v>
      </c>
      <c r="B73" t="s">
        <v>15</v>
      </c>
      <c r="C73" t="s">
        <v>24</v>
      </c>
      <c r="D73" s="1">
        <v>7.1</v>
      </c>
      <c r="E73">
        <v>1</v>
      </c>
      <c r="F73">
        <v>63</v>
      </c>
      <c r="G73">
        <v>69</v>
      </c>
      <c r="H73" s="2">
        <v>81</v>
      </c>
      <c r="I73" t="s">
        <v>19</v>
      </c>
      <c r="J73">
        <v>0</v>
      </c>
      <c r="K73">
        <f>(placement_data[[#This Row],[Aptitude_Score]]+placement_data[[#This Row],[Communication_Score]])/2</f>
        <v>66</v>
      </c>
      <c r="L73" t="str">
        <f>IF(placement_data[[#This Row],[Average Score]]&gt;85,"Excellent",IF(placement_data[[#This Row],[Average Score]]&gt;=70,"Good","Average"))</f>
        <v>Average</v>
      </c>
      <c r="M73" t="str">
        <f>IF(AND(placement_data[[#This Row],[CGPA]]&gt;7,placement_data[[#This Row],[Aptitude_Score]]&gt;55),"Eligible","Not Eligible")</f>
        <v>Eligible</v>
      </c>
    </row>
    <row r="74" spans="1:13" x14ac:dyDescent="0.35">
      <c r="A74" t="s">
        <v>92</v>
      </c>
      <c r="B74" t="s">
        <v>11</v>
      </c>
      <c r="C74" t="s">
        <v>12</v>
      </c>
      <c r="D74" s="1">
        <v>9</v>
      </c>
      <c r="E74">
        <v>4</v>
      </c>
      <c r="F74">
        <v>91</v>
      </c>
      <c r="G74">
        <v>95</v>
      </c>
      <c r="H74" s="2">
        <v>98</v>
      </c>
      <c r="I74" t="s">
        <v>13</v>
      </c>
      <c r="J74">
        <v>15</v>
      </c>
      <c r="K74">
        <f>(placement_data[[#This Row],[Aptitude_Score]]+placement_data[[#This Row],[Communication_Score]])/2</f>
        <v>93</v>
      </c>
      <c r="L74" t="str">
        <f>IF(placement_data[[#This Row],[Average Score]]&gt;85,"Excellent",IF(placement_data[[#This Row],[Average Score]]&gt;=70,"Good","Average"))</f>
        <v>Excellent</v>
      </c>
      <c r="M74" t="str">
        <f>IF(AND(placement_data[[#This Row],[CGPA]]&gt;7,placement_data[[#This Row],[Aptitude_Score]]&gt;55),"Eligible","Not Eligible")</f>
        <v>Eligible</v>
      </c>
    </row>
    <row r="75" spans="1:13" x14ac:dyDescent="0.35">
      <c r="A75" t="s">
        <v>93</v>
      </c>
      <c r="B75" t="s">
        <v>15</v>
      </c>
      <c r="C75" t="s">
        <v>16</v>
      </c>
      <c r="D75" s="1">
        <v>8</v>
      </c>
      <c r="E75">
        <v>2</v>
      </c>
      <c r="F75">
        <v>75</v>
      </c>
      <c r="G75">
        <v>81</v>
      </c>
      <c r="H75" s="2">
        <v>89</v>
      </c>
      <c r="I75" t="s">
        <v>13</v>
      </c>
      <c r="J75">
        <v>7</v>
      </c>
      <c r="K75">
        <f>(placement_data[[#This Row],[Aptitude_Score]]+placement_data[[#This Row],[Communication_Score]])/2</f>
        <v>78</v>
      </c>
      <c r="L75" t="str">
        <f>IF(placement_data[[#This Row],[Average Score]]&gt;85,"Excellent",IF(placement_data[[#This Row],[Average Score]]&gt;=70,"Good","Average"))</f>
        <v>Good</v>
      </c>
      <c r="M75" t="str">
        <f>IF(AND(placement_data[[#This Row],[CGPA]]&gt;7,placement_data[[#This Row],[Aptitude_Score]]&gt;55),"Eligible","Not Eligible")</f>
        <v>Eligible</v>
      </c>
    </row>
    <row r="76" spans="1:13" x14ac:dyDescent="0.35">
      <c r="A76" t="s">
        <v>94</v>
      </c>
      <c r="B76" t="s">
        <v>11</v>
      </c>
      <c r="C76" t="s">
        <v>22</v>
      </c>
      <c r="D76" s="1">
        <v>6.9</v>
      </c>
      <c r="E76">
        <v>0</v>
      </c>
      <c r="F76">
        <v>57</v>
      </c>
      <c r="G76">
        <v>62</v>
      </c>
      <c r="H76" s="2">
        <v>78</v>
      </c>
      <c r="I76" t="s">
        <v>19</v>
      </c>
      <c r="J76">
        <v>0</v>
      </c>
      <c r="K76">
        <f>(placement_data[[#This Row],[Aptitude_Score]]+placement_data[[#This Row],[Communication_Score]])/2</f>
        <v>59.5</v>
      </c>
      <c r="L76" t="str">
        <f>IF(placement_data[[#This Row],[Average Score]]&gt;85,"Excellent",IF(placement_data[[#This Row],[Average Score]]&gt;=70,"Good","Average"))</f>
        <v>Average</v>
      </c>
      <c r="M76" t="str">
        <f>IF(AND(placement_data[[#This Row],[CGPA]]&gt;7,placement_data[[#This Row],[Aptitude_Score]]&gt;55),"Eligible","Not Eligible")</f>
        <v>Not Eligible</v>
      </c>
    </row>
    <row r="77" spans="1:13" x14ac:dyDescent="0.35">
      <c r="A77" t="s">
        <v>95</v>
      </c>
      <c r="B77" t="s">
        <v>15</v>
      </c>
      <c r="C77" t="s">
        <v>30</v>
      </c>
      <c r="D77" s="1">
        <v>8.4</v>
      </c>
      <c r="E77">
        <v>3</v>
      </c>
      <c r="F77">
        <v>82</v>
      </c>
      <c r="G77">
        <v>86</v>
      </c>
      <c r="H77" s="2">
        <v>92</v>
      </c>
      <c r="I77" t="s">
        <v>13</v>
      </c>
      <c r="J77">
        <v>9</v>
      </c>
      <c r="K77">
        <f>(placement_data[[#This Row],[Aptitude_Score]]+placement_data[[#This Row],[Communication_Score]])/2</f>
        <v>84</v>
      </c>
      <c r="L77" t="str">
        <f>IF(placement_data[[#This Row],[Average Score]]&gt;85,"Excellent",IF(placement_data[[#This Row],[Average Score]]&gt;=70,"Good","Average"))</f>
        <v>Good</v>
      </c>
      <c r="M77" t="str">
        <f>IF(AND(placement_data[[#This Row],[CGPA]]&gt;7,placement_data[[#This Row],[Aptitude_Score]]&gt;55),"Eligible","Not Eligible")</f>
        <v>Eligible</v>
      </c>
    </row>
    <row r="78" spans="1:13" x14ac:dyDescent="0.35">
      <c r="A78" t="s">
        <v>96</v>
      </c>
      <c r="B78" t="s">
        <v>11</v>
      </c>
      <c r="C78" t="s">
        <v>12</v>
      </c>
      <c r="D78" s="1">
        <v>9.5</v>
      </c>
      <c r="E78">
        <v>4</v>
      </c>
      <c r="F78">
        <v>97</v>
      </c>
      <c r="G78">
        <v>99</v>
      </c>
      <c r="H78" s="2">
        <v>100</v>
      </c>
      <c r="I78" t="s">
        <v>13</v>
      </c>
      <c r="J78">
        <v>19</v>
      </c>
      <c r="K78">
        <f>(placement_data[[#This Row],[Aptitude_Score]]+placement_data[[#This Row],[Communication_Score]])/2</f>
        <v>98</v>
      </c>
      <c r="L78" t="str">
        <f>IF(placement_data[[#This Row],[Average Score]]&gt;85,"Excellent",IF(placement_data[[#This Row],[Average Score]]&gt;=70,"Good","Average"))</f>
        <v>Excellent</v>
      </c>
      <c r="M78" t="str">
        <f>IF(AND(placement_data[[#This Row],[CGPA]]&gt;7,placement_data[[#This Row],[Aptitude_Score]]&gt;55),"Eligible","Not Eligible")</f>
        <v>Eligible</v>
      </c>
    </row>
    <row r="79" spans="1:13" x14ac:dyDescent="0.35">
      <c r="A79" t="s">
        <v>97</v>
      </c>
      <c r="B79" t="s">
        <v>15</v>
      </c>
      <c r="C79" t="s">
        <v>18</v>
      </c>
      <c r="D79" s="1">
        <v>7.6</v>
      </c>
      <c r="E79">
        <v>1</v>
      </c>
      <c r="F79">
        <v>70</v>
      </c>
      <c r="G79">
        <v>75</v>
      </c>
      <c r="H79" s="2">
        <v>87</v>
      </c>
      <c r="I79" t="s">
        <v>13</v>
      </c>
      <c r="J79">
        <v>6</v>
      </c>
      <c r="K79">
        <f>(placement_data[[#This Row],[Aptitude_Score]]+placement_data[[#This Row],[Communication_Score]])/2</f>
        <v>72.5</v>
      </c>
      <c r="L79" t="str">
        <f>IF(placement_data[[#This Row],[Average Score]]&gt;85,"Excellent",IF(placement_data[[#This Row],[Average Score]]&gt;=70,"Good","Average"))</f>
        <v>Good</v>
      </c>
      <c r="M79" t="str">
        <f>IF(AND(placement_data[[#This Row],[CGPA]]&gt;7,placement_data[[#This Row],[Aptitude_Score]]&gt;55),"Eligible","Not Eligible")</f>
        <v>Eligible</v>
      </c>
    </row>
    <row r="80" spans="1:13" x14ac:dyDescent="0.35">
      <c r="A80" t="s">
        <v>98</v>
      </c>
      <c r="B80" t="s">
        <v>11</v>
      </c>
      <c r="C80" t="s">
        <v>16</v>
      </c>
      <c r="D80" s="1">
        <v>6.5</v>
      </c>
      <c r="E80">
        <v>0</v>
      </c>
      <c r="F80">
        <v>52</v>
      </c>
      <c r="G80">
        <v>57</v>
      </c>
      <c r="H80" s="2">
        <v>74</v>
      </c>
      <c r="I80" t="s">
        <v>19</v>
      </c>
      <c r="J80">
        <v>0</v>
      </c>
      <c r="K80">
        <f>(placement_data[[#This Row],[Aptitude_Score]]+placement_data[[#This Row],[Communication_Score]])/2</f>
        <v>54.5</v>
      </c>
      <c r="L80" t="str">
        <f>IF(placement_data[[#This Row],[Average Score]]&gt;85,"Excellent",IF(placement_data[[#This Row],[Average Score]]&gt;=70,"Good","Average"))</f>
        <v>Average</v>
      </c>
      <c r="M80" t="str">
        <f>IF(AND(placement_data[[#This Row],[CGPA]]&gt;7,placement_data[[#This Row],[Aptitude_Score]]&gt;55),"Eligible","Not Eligible")</f>
        <v>Not Eligible</v>
      </c>
    </row>
    <row r="81" spans="1:13" x14ac:dyDescent="0.35">
      <c r="A81" t="s">
        <v>99</v>
      </c>
      <c r="B81" t="s">
        <v>15</v>
      </c>
      <c r="C81" t="s">
        <v>12</v>
      </c>
      <c r="D81" s="1">
        <v>8.8000000000000007</v>
      </c>
      <c r="E81">
        <v>3</v>
      </c>
      <c r="F81">
        <v>88</v>
      </c>
      <c r="G81">
        <v>91</v>
      </c>
      <c r="H81" s="2">
        <v>95</v>
      </c>
      <c r="I81" t="s">
        <v>13</v>
      </c>
      <c r="J81">
        <v>12</v>
      </c>
      <c r="K81">
        <f>(placement_data[[#This Row],[Aptitude_Score]]+placement_data[[#This Row],[Communication_Score]])/2</f>
        <v>89.5</v>
      </c>
      <c r="L81" t="str">
        <f>IF(placement_data[[#This Row],[Average Score]]&gt;85,"Excellent",IF(placement_data[[#This Row],[Average Score]]&gt;=70,"Good","Average"))</f>
        <v>Excellent</v>
      </c>
      <c r="M81" t="str">
        <f>IF(AND(placement_data[[#This Row],[CGPA]]&gt;7,placement_data[[#This Row],[Aptitude_Score]]&gt;55),"Eligible","Not Eligible")</f>
        <v>Eligible</v>
      </c>
    </row>
    <row r="83" spans="1:13" x14ac:dyDescent="0.35">
      <c r="F83" t="s">
        <v>124</v>
      </c>
    </row>
    <row r="86" spans="1:13" x14ac:dyDescent="0.35">
      <c r="D86" t="s">
        <v>106</v>
      </c>
      <c r="H86" t="s">
        <v>107</v>
      </c>
      <c r="K86" t="s">
        <v>110</v>
      </c>
    </row>
    <row r="88" spans="1:13" x14ac:dyDescent="0.35">
      <c r="D88" s="3" t="s">
        <v>103</v>
      </c>
      <c r="E88" t="s">
        <v>105</v>
      </c>
      <c r="H88" s="3" t="s">
        <v>8</v>
      </c>
      <c r="I88" t="s">
        <v>114</v>
      </c>
      <c r="K88" s="3" t="s">
        <v>103</v>
      </c>
      <c r="L88" t="s">
        <v>105</v>
      </c>
    </row>
    <row r="89" spans="1:13" x14ac:dyDescent="0.35">
      <c r="D89" s="4" t="s">
        <v>24</v>
      </c>
      <c r="E89" s="14">
        <v>9</v>
      </c>
      <c r="K89" s="4" t="s">
        <v>11</v>
      </c>
      <c r="L89" s="14">
        <v>40</v>
      </c>
    </row>
    <row r="90" spans="1:13" x14ac:dyDescent="0.35">
      <c r="D90" s="5" t="s">
        <v>19</v>
      </c>
      <c r="E90" s="14">
        <v>5</v>
      </c>
      <c r="H90" s="3" t="s">
        <v>103</v>
      </c>
      <c r="I90" t="s">
        <v>108</v>
      </c>
      <c r="K90" s="5" t="s">
        <v>109</v>
      </c>
      <c r="L90" s="14">
        <v>19</v>
      </c>
    </row>
    <row r="91" spans="1:13" x14ac:dyDescent="0.35">
      <c r="D91" s="5" t="s">
        <v>13</v>
      </c>
      <c r="E91" s="14">
        <v>4</v>
      </c>
      <c r="H91" s="4" t="s">
        <v>24</v>
      </c>
      <c r="I91" s="14">
        <v>2.3333333333333335</v>
      </c>
      <c r="K91" s="5" t="s">
        <v>115</v>
      </c>
      <c r="L91" s="14">
        <v>11</v>
      </c>
    </row>
    <row r="92" spans="1:13" x14ac:dyDescent="0.35">
      <c r="D92" s="4" t="s">
        <v>12</v>
      </c>
      <c r="E92" s="14">
        <v>24</v>
      </c>
      <c r="H92" s="4" t="s">
        <v>12</v>
      </c>
      <c r="I92" s="14">
        <v>13.875</v>
      </c>
      <c r="K92" s="5" t="s">
        <v>116</v>
      </c>
      <c r="L92" s="14">
        <v>10</v>
      </c>
    </row>
    <row r="93" spans="1:13" x14ac:dyDescent="0.35">
      <c r="D93" s="5" t="s">
        <v>13</v>
      </c>
      <c r="E93" s="14">
        <v>24</v>
      </c>
      <c r="H93" s="4" t="s">
        <v>16</v>
      </c>
      <c r="I93" s="14">
        <v>3.4375</v>
      </c>
      <c r="K93" s="4" t="s">
        <v>15</v>
      </c>
      <c r="L93" s="14">
        <v>40</v>
      </c>
    </row>
    <row r="94" spans="1:13" x14ac:dyDescent="0.35">
      <c r="D94" s="4" t="s">
        <v>16</v>
      </c>
      <c r="E94" s="14">
        <v>16</v>
      </c>
      <c r="H94" s="4" t="s">
        <v>18</v>
      </c>
      <c r="I94" s="14">
        <v>4</v>
      </c>
      <c r="K94" s="5" t="s">
        <v>109</v>
      </c>
      <c r="L94" s="14">
        <v>7</v>
      </c>
    </row>
    <row r="95" spans="1:13" x14ac:dyDescent="0.35">
      <c r="D95" s="5" t="s">
        <v>19</v>
      </c>
      <c r="E95" s="14">
        <v>8</v>
      </c>
      <c r="H95" s="4" t="s">
        <v>30</v>
      </c>
      <c r="I95" s="14">
        <v>8.7857142857142865</v>
      </c>
      <c r="K95" s="5" t="s">
        <v>115</v>
      </c>
      <c r="L95" s="14">
        <v>15</v>
      </c>
    </row>
    <row r="96" spans="1:13" x14ac:dyDescent="0.35">
      <c r="D96" s="5" t="s">
        <v>13</v>
      </c>
      <c r="E96" s="14">
        <v>8</v>
      </c>
      <c r="H96" s="4" t="s">
        <v>22</v>
      </c>
      <c r="I96" s="14">
        <v>0.5</v>
      </c>
      <c r="K96" s="5" t="s">
        <v>116</v>
      </c>
      <c r="L96" s="14">
        <v>18</v>
      </c>
    </row>
    <row r="97" spans="4:14" x14ac:dyDescent="0.35">
      <c r="D97" s="4" t="s">
        <v>18</v>
      </c>
      <c r="E97" s="14">
        <v>9</v>
      </c>
      <c r="H97" s="4" t="s">
        <v>104</v>
      </c>
      <c r="I97" s="14">
        <v>7.15</v>
      </c>
      <c r="K97" s="4" t="s">
        <v>104</v>
      </c>
      <c r="L97" s="14">
        <v>80</v>
      </c>
    </row>
    <row r="98" spans="4:14" x14ac:dyDescent="0.35">
      <c r="D98" s="5" t="s">
        <v>19</v>
      </c>
      <c r="E98" s="14">
        <v>2</v>
      </c>
    </row>
    <row r="99" spans="4:14" x14ac:dyDescent="0.35">
      <c r="D99" s="5" t="s">
        <v>13</v>
      </c>
      <c r="E99" s="14">
        <v>7</v>
      </c>
    </row>
    <row r="100" spans="4:14" x14ac:dyDescent="0.35">
      <c r="D100" s="4" t="s">
        <v>30</v>
      </c>
      <c r="E100" s="14">
        <v>14</v>
      </c>
      <c r="H100" s="4" t="s">
        <v>112</v>
      </c>
      <c r="M100" t="s">
        <v>123</v>
      </c>
    </row>
    <row r="101" spans="4:14" x14ac:dyDescent="0.35">
      <c r="D101" s="5" t="s">
        <v>13</v>
      </c>
      <c r="E101" s="14">
        <v>14</v>
      </c>
    </row>
    <row r="102" spans="4:14" x14ac:dyDescent="0.35">
      <c r="D102" s="4" t="s">
        <v>22</v>
      </c>
      <c r="E102" s="14">
        <v>8</v>
      </c>
      <c r="H102" s="3" t="s">
        <v>105</v>
      </c>
      <c r="I102" s="3" t="s">
        <v>111</v>
      </c>
      <c r="M102" s="3" t="s">
        <v>103</v>
      </c>
      <c r="N102" t="s">
        <v>105</v>
      </c>
    </row>
    <row r="103" spans="4:14" x14ac:dyDescent="0.35">
      <c r="D103" s="5" t="s">
        <v>19</v>
      </c>
      <c r="E103" s="14">
        <v>7</v>
      </c>
      <c r="H103" s="3" t="s">
        <v>103</v>
      </c>
      <c r="I103" t="s">
        <v>19</v>
      </c>
      <c r="J103" t="s">
        <v>13</v>
      </c>
      <c r="K103" t="s">
        <v>104</v>
      </c>
      <c r="M103" s="4" t="s">
        <v>19</v>
      </c>
      <c r="N103" s="14">
        <v>22</v>
      </c>
    </row>
    <row r="104" spans="4:14" x14ac:dyDescent="0.35">
      <c r="D104" s="5" t="s">
        <v>13</v>
      </c>
      <c r="E104" s="14">
        <v>1</v>
      </c>
      <c r="H104" s="4">
        <v>0</v>
      </c>
      <c r="I104" s="14">
        <v>16</v>
      </c>
      <c r="J104" s="14"/>
      <c r="K104" s="14">
        <v>16</v>
      </c>
      <c r="M104" s="4" t="s">
        <v>13</v>
      </c>
      <c r="N104" s="14">
        <v>58</v>
      </c>
    </row>
    <row r="105" spans="4:14" x14ac:dyDescent="0.35">
      <c r="D105" s="4" t="s">
        <v>104</v>
      </c>
      <c r="E105" s="14">
        <v>80</v>
      </c>
      <c r="H105" s="4">
        <v>1</v>
      </c>
      <c r="I105" s="14">
        <v>6</v>
      </c>
      <c r="J105" s="14">
        <v>12</v>
      </c>
      <c r="K105" s="14">
        <v>18</v>
      </c>
      <c r="M105" s="4" t="s">
        <v>104</v>
      </c>
      <c r="N105" s="14">
        <v>80</v>
      </c>
    </row>
    <row r="106" spans="4:14" x14ac:dyDescent="0.35">
      <c r="H106" s="4">
        <v>2</v>
      </c>
      <c r="I106" s="14"/>
      <c r="J106" s="14">
        <v>21</v>
      </c>
      <c r="K106" s="14">
        <v>21</v>
      </c>
    </row>
    <row r="107" spans="4:14" x14ac:dyDescent="0.35">
      <c r="H107" s="4">
        <v>3</v>
      </c>
      <c r="I107" s="14"/>
      <c r="J107" s="14">
        <v>14</v>
      </c>
      <c r="K107" s="14">
        <v>14</v>
      </c>
    </row>
    <row r="108" spans="4:14" x14ac:dyDescent="0.35">
      <c r="H108" s="4">
        <v>4</v>
      </c>
      <c r="I108" s="14"/>
      <c r="J108" s="14">
        <v>11</v>
      </c>
      <c r="K108" s="14">
        <v>11</v>
      </c>
    </row>
    <row r="109" spans="4:14" x14ac:dyDescent="0.35">
      <c r="H109" s="4" t="s">
        <v>104</v>
      </c>
      <c r="I109" s="14">
        <v>22</v>
      </c>
      <c r="J109" s="14">
        <v>58</v>
      </c>
      <c r="K109" s="14">
        <v>80</v>
      </c>
    </row>
    <row r="110" spans="4:14" x14ac:dyDescent="0.35">
      <c r="D110" t="s">
        <v>125</v>
      </c>
    </row>
    <row r="112" spans="4:14" x14ac:dyDescent="0.35">
      <c r="D112" s="3" t="s">
        <v>8</v>
      </c>
      <c r="E112" s="3" t="s">
        <v>2</v>
      </c>
      <c r="F112" t="s">
        <v>113</v>
      </c>
    </row>
    <row r="113" spans="4:6" x14ac:dyDescent="0.35">
      <c r="D113" t="s">
        <v>19</v>
      </c>
      <c r="E113" t="s">
        <v>24</v>
      </c>
      <c r="F113">
        <v>5</v>
      </c>
    </row>
    <row r="114" spans="4:6" x14ac:dyDescent="0.35">
      <c r="D114" t="s">
        <v>19</v>
      </c>
      <c r="E114" t="s">
        <v>16</v>
      </c>
      <c r="F114">
        <v>8</v>
      </c>
    </row>
    <row r="115" spans="4:6" x14ac:dyDescent="0.35">
      <c r="D115" t="s">
        <v>19</v>
      </c>
      <c r="E115" t="s">
        <v>18</v>
      </c>
      <c r="F115">
        <v>2</v>
      </c>
    </row>
    <row r="116" spans="4:6" x14ac:dyDescent="0.35">
      <c r="D116" t="s">
        <v>19</v>
      </c>
      <c r="E116" t="s">
        <v>22</v>
      </c>
      <c r="F116">
        <v>7</v>
      </c>
    </row>
    <row r="117" spans="4:6" x14ac:dyDescent="0.35">
      <c r="D117" t="s">
        <v>13</v>
      </c>
      <c r="E117" t="s">
        <v>24</v>
      </c>
      <c r="F117">
        <v>4</v>
      </c>
    </row>
    <row r="118" spans="4:6" x14ac:dyDescent="0.35">
      <c r="D118" t="s">
        <v>13</v>
      </c>
      <c r="E118" t="s">
        <v>12</v>
      </c>
      <c r="F118">
        <v>24</v>
      </c>
    </row>
    <row r="119" spans="4:6" x14ac:dyDescent="0.35">
      <c r="D119" t="s">
        <v>13</v>
      </c>
      <c r="E119" t="s">
        <v>16</v>
      </c>
      <c r="F119">
        <v>8</v>
      </c>
    </row>
    <row r="120" spans="4:6" x14ac:dyDescent="0.35">
      <c r="D120" t="s">
        <v>13</v>
      </c>
      <c r="E120" t="s">
        <v>18</v>
      </c>
      <c r="F120">
        <v>7</v>
      </c>
    </row>
    <row r="121" spans="4:6" x14ac:dyDescent="0.35">
      <c r="D121" t="s">
        <v>13</v>
      </c>
      <c r="E121" t="s">
        <v>30</v>
      </c>
      <c r="F121">
        <v>14</v>
      </c>
    </row>
    <row r="122" spans="4:6" x14ac:dyDescent="0.35">
      <c r="D122" t="s">
        <v>13</v>
      </c>
      <c r="E122" t="s">
        <v>22</v>
      </c>
      <c r="F122">
        <v>1</v>
      </c>
    </row>
  </sheetData>
  <phoneticPr fontId="3" type="noConversion"/>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D593-6574-41D0-ABBF-8270849664F1}">
  <dimension ref="B1:N5"/>
  <sheetViews>
    <sheetView showGridLines="0" tabSelected="1" zoomScale="34" zoomScaleNormal="130" workbookViewId="0">
      <selection activeCell="N21" sqref="N21"/>
    </sheetView>
  </sheetViews>
  <sheetFormatPr defaultRowHeight="14.5" x14ac:dyDescent="0.35"/>
  <cols>
    <col min="2" max="2" width="36" customWidth="1"/>
    <col min="3" max="3" width="4.36328125" customWidth="1"/>
    <col min="4" max="4" width="31.6328125" customWidth="1"/>
    <col min="5" max="5" width="4" customWidth="1"/>
    <col min="6" max="6" width="32.81640625" customWidth="1"/>
    <col min="7" max="7" width="3.36328125" customWidth="1"/>
    <col min="8" max="8" width="36.81640625" customWidth="1"/>
    <col min="9" max="9" width="3" customWidth="1"/>
    <col min="10" max="10" width="40" customWidth="1"/>
  </cols>
  <sheetData>
    <row r="1" spans="2:14" ht="15.5" customHeight="1" x14ac:dyDescent="0.35"/>
    <row r="2" spans="2:14" ht="40" customHeight="1" x14ac:dyDescent="0.65">
      <c r="D2" s="9" t="s">
        <v>121</v>
      </c>
      <c r="F2" s="8"/>
      <c r="G2" s="8"/>
      <c r="H2" s="8"/>
    </row>
    <row r="3" spans="2:14" ht="25.5" customHeight="1" x14ac:dyDescent="0.35"/>
    <row r="4" spans="2:14" ht="25.5" customHeight="1" x14ac:dyDescent="0.65">
      <c r="B4" s="10" t="s">
        <v>117</v>
      </c>
      <c r="C4" s="7"/>
      <c r="D4" s="10" t="s">
        <v>118</v>
      </c>
      <c r="E4" s="7"/>
      <c r="F4" s="10" t="s">
        <v>119</v>
      </c>
      <c r="G4" s="7"/>
      <c r="H4" s="10" t="s">
        <v>122</v>
      </c>
      <c r="I4" s="7"/>
      <c r="J4" s="10" t="s">
        <v>120</v>
      </c>
      <c r="N4" s="8"/>
    </row>
    <row r="5" spans="2:14" ht="31.5" customHeight="1" x14ac:dyDescent="0.45">
      <c r="B5" s="11">
        <f>COUNTA(placement_data[Student_ID])</f>
        <v>80</v>
      </c>
      <c r="C5" s="6"/>
      <c r="D5" s="11">
        <f>COUNTIF(placement_data[Placement_Status],"Placed")</f>
        <v>58</v>
      </c>
      <c r="E5" s="6"/>
      <c r="F5" s="12">
        <f>COUNTIF(placement_data[Placement_Status],"Placed")/COUNTA(placement_data[Student_ID])</f>
        <v>0.72499999999999998</v>
      </c>
      <c r="G5" s="6"/>
      <c r="H5" s="11">
        <f>MAX(placement_data[Salary_LPA])</f>
        <v>19</v>
      </c>
      <c r="I5" s="6"/>
      <c r="J5" s="13">
        <f>ROUND(AVERAGEIF(placement_data[Placement_Status],"Placed",placement_data[Salary_LPA]),2)</f>
        <v>9.86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79DD4D-6110-4F67-821A-3FA7963754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placement_data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Bharathi</dc:creator>
  <cp:lastModifiedBy>N Bharathi</cp:lastModifiedBy>
  <dcterms:created xsi:type="dcterms:W3CDTF">2026-05-28T06:09:37Z</dcterms:created>
  <dcterms:modified xsi:type="dcterms:W3CDTF">2026-06-08T04:39:36Z</dcterms:modified>
</cp:coreProperties>
</file>